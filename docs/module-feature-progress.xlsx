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comments/comment7.xml" ContentType="application/vnd.openxmlformats-officedocument.spreadsheetml.comments+xml"/>
  <Override PartName="/xl/worksheets/sheet8.xml" ContentType="application/vnd.openxmlformats-officedocument.spreadsheetml.worksheet+xml"/>
  <Override PartName="/xl/comments/comment8.xml" ContentType="application/vnd.openxmlformats-officedocument.spreadsheetml.comments+xml"/>
  <Override PartName="/xl/worksheets/sheet9.xml" ContentType="application/vnd.openxmlformats-officedocument.spreadsheetml.worksheet+xml"/>
  <Override PartName="/xl/comments/comment9.xml" ContentType="application/vnd.openxmlformats-officedocument.spreadsheetml.comments+xml"/>
  <Override PartName="/xl/worksheets/sheet10.xml" ContentType="application/vnd.openxmlformats-officedocument.spreadsheetml.worksheet+xml"/>
  <Override PartName="/xl/comments/comment10.xml" ContentType="application/vnd.openxmlformats-officedocument.spreadsheetml.comments+xml"/>
  <Override PartName="/xl/worksheets/sheet11.xml" ContentType="application/vnd.openxmlformats-officedocument.spreadsheetml.worksheet+xml"/>
  <Override PartName="/xl/comments/comment11.xml" ContentType="application/vnd.openxmlformats-officedocument.spreadsheetml.comments+xml"/>
  <Override PartName="/xl/worksheets/sheet12.xml" ContentType="application/vnd.openxmlformats-officedocument.spreadsheetml.worksheet+xml"/>
  <Override PartName="/xl/comments/comment12.xml" ContentType="application/vnd.openxmlformats-officedocument.spreadsheetml.comments+xml"/>
  <Override PartName="/xl/worksheets/sheet13.xml" ContentType="application/vnd.openxmlformats-officedocument.spreadsheetml.worksheet+xml"/>
  <Override PartName="/xl/comments/comment13.xml" ContentType="application/vnd.openxmlformats-officedocument.spreadsheetml.comments+xml"/>
  <Override PartName="/xl/worksheets/sheet14.xml" ContentType="application/vnd.openxmlformats-officedocument.spreadsheetml.worksheet+xml"/>
  <Override PartName="/xl/comments/comment14.xml" ContentType="application/vnd.openxmlformats-officedocument.spreadsheetml.comments+xml"/>
  <Override PartName="/xl/worksheets/sheet15.xml" ContentType="application/vnd.openxmlformats-officedocument.spreadsheetml.worksheet+xml"/>
  <Override PartName="/xl/comments/comment15.xml" ContentType="application/vnd.openxmlformats-officedocument.spreadsheetml.comments+xml"/>
  <Override PartName="/xl/worksheets/sheet16.xml" ContentType="application/vnd.openxmlformats-officedocument.spreadsheetml.worksheet+xml"/>
  <Override PartName="/xl/comments/comment16.xml" ContentType="application/vnd.openxmlformats-officedocument.spreadsheetml.comments+xml"/>
  <Override PartName="/xl/worksheets/sheet17.xml" ContentType="application/vnd.openxmlformats-officedocument.spreadsheetml.worksheet+xml"/>
  <Override PartName="/xl/comments/comment17.xml" ContentType="application/vnd.openxmlformats-officedocument.spreadsheetml.comments+xml"/>
  <Override PartName="/xl/worksheets/sheet18.xml" ContentType="application/vnd.openxmlformats-officedocument.spreadsheetml.worksheet+xml"/>
  <Override PartName="/xl/comments/comment18.xml" ContentType="application/vnd.openxmlformats-officedocument.spreadsheetml.comments+xml"/>
  <Override PartName="/xl/worksheets/sheet19.xml" ContentType="application/vnd.openxmlformats-officedocument.spreadsheetml.worksheet+xml"/>
  <Override PartName="/xl/comments/comment19.xml" ContentType="application/vnd.openxmlformats-officedocument.spreadsheetml.comments+xml"/>
  <Override PartName="/xl/worksheets/sheet20.xml" ContentType="application/vnd.openxmlformats-officedocument.spreadsheetml.worksheet+xml"/>
  <Override PartName="/xl/comments/comment20.xml" ContentType="application/vnd.openxmlformats-officedocument.spreadsheetml.comments+xml"/>
  <Override PartName="/xl/worksheets/sheet21.xml" ContentType="application/vnd.openxmlformats-officedocument.spreadsheetml.worksheet+xml"/>
  <Override PartName="/xl/comments/comment21.xml" ContentType="application/vnd.openxmlformats-officedocument.spreadsheetml.comments+xml"/>
  <Override PartName="/xl/worksheets/sheet22.xml" ContentType="application/vnd.openxmlformats-officedocument.spreadsheetml.worksheet+xml"/>
  <Override PartName="/xl/comments/comment22.xml" ContentType="application/vnd.openxmlformats-officedocument.spreadsheetml.comments+xml"/>
  <Override PartName="/xl/worksheets/sheet23.xml" ContentType="application/vnd.openxmlformats-officedocument.spreadsheetml.worksheet+xml"/>
  <Override PartName="/xl/comments/comment23.xml" ContentType="application/vnd.openxmlformats-officedocument.spreadsheetml.comments+xml"/>
  <Override PartName="/xl/worksheets/sheet24.xml" ContentType="application/vnd.openxmlformats-officedocument.spreadsheetml.worksheet+xml"/>
  <Override PartName="/xl/comments/comment24.xml" ContentType="application/vnd.openxmlformats-officedocument.spreadsheetml.comments+xml"/>
  <Override PartName="/xl/worksheets/sheet25.xml" ContentType="application/vnd.openxmlformats-officedocument.spreadsheetml.worksheet+xml"/>
  <Override PartName="/xl/comments/comment2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uth" sheetId="2" state="visible" r:id="rId2"/>
    <sheet name="Users" sheetId="3" state="visible" r:id="rId3"/>
    <sheet name="Roles" sheetId="4" state="visible" r:id="rId4"/>
    <sheet name="Permissions" sheetId="5" state="visible" r:id="rId5"/>
    <sheet name="System Resources" sheetId="6" state="visible" r:id="rId6"/>
    <sheet name="Departments" sheetId="7" state="visible" r:id="rId7"/>
    <sheet name="Employee Profiles" sheetId="8" state="visible" r:id="rId8"/>
    <sheet name="Identity (CCCD)" sheetId="9" state="visible" r:id="rId9"/>
    <sheet name="User Avatars" sheetId="10" state="visible" r:id="rId10"/>
    <sheet name="Notifications" sheetId="11" state="visible" r:id="rId11"/>
    <sheet name="Audit Log" sheetId="12" state="visible" r:id="rId12"/>
    <sheet name="Tickets" sheetId="13" state="visible" r:id="rId13"/>
    <sheet name="ATS - Recruitment Requests" sheetId="14" state="visible" r:id="rId14"/>
    <sheet name="ATS - Job Posts" sheetId="15" state="visible" r:id="rId15"/>
    <sheet name="ATS - Candidates" sheetId="16" state="visible" r:id="rId16"/>
    <sheet name="ATS - Submissions" sheetId="17" state="visible" r:id="rId17"/>
    <sheet name="ATS - CV Screening (AI)" sheetId="18" state="visible" r:id="rId18"/>
    <sheet name="ATS - Storage (S3)" sheetId="19" state="visible" r:id="rId19"/>
    <sheet name="Publishing Automation" sheetId="20" state="visible" r:id="rId20"/>
    <sheet name="Address" sheetId="21" state="visible" r:id="rId21"/>
    <sheet name="Cron &amp; Scheduled Tasks" sheetId="22" state="visible" r:id="rId22"/>
    <sheet name="Mail" sheetId="23" state="visible" r:id="rId23"/>
    <sheet name="Core Infrastructure" sheetId="24" state="visible" r:id="rId24"/>
    <sheet name="Database &amp; Deployment" sheetId="25" state="visible" r:id="rId25"/>
  </sheets>
  <definedNames/>
  <calcPr calcId="0"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color rgb="00FFFFFF"/>
      <sz val="14"/>
    </font>
    <font>
      <name val="Arial"/>
      <i val="1"/>
      <color rgb="00595959"/>
      <sz val="9"/>
    </font>
    <font>
      <name val="Arial"/>
      <b val="1"/>
      <color rgb="00FFFFFF"/>
      <sz val="11"/>
    </font>
    <font>
      <name val="Arial"/>
      <sz val="11"/>
    </font>
    <font>
      <name val="Arial"/>
      <b val="1"/>
      <color rgb="00404040"/>
      <sz val="10"/>
    </font>
    <font>
      <name val="Arial"/>
      <i val="1"/>
      <color rgb="00404040"/>
      <sz val="11"/>
    </font>
    <font>
      <name val="Arial"/>
      <b val="1"/>
      <sz val="11"/>
    </font>
    <font>
      <name val="Arial"/>
      <color rgb="00595959"/>
      <sz val="9"/>
    </font>
    <font>
      <name val="Arial"/>
      <color rgb="00008000"/>
      <sz val="11"/>
    </font>
    <font>
      <name val="Arial"/>
      <color rgb="000000FF"/>
      <sz val="11"/>
    </font>
  </fonts>
  <fills count="9">
    <fill>
      <patternFill/>
    </fill>
    <fill>
      <patternFill patternType="gray125"/>
    </fill>
    <fill>
      <patternFill patternType="solid">
        <fgColor rgb="001F3864"/>
      </patternFill>
    </fill>
    <fill>
      <patternFill patternType="solid">
        <fgColor rgb="002E5C99"/>
      </patternFill>
    </fill>
    <fill>
      <patternFill patternType="solid">
        <fgColor rgb="00FFF2CC"/>
      </patternFill>
    </fill>
    <fill>
      <patternFill patternType="solid">
        <fgColor rgb="00D9D9D9"/>
      </patternFill>
    </fill>
    <fill>
      <patternFill patternType="solid">
        <fgColor rgb="00EDEDED"/>
      </patternFill>
    </fill>
    <fill>
      <patternFill patternType="solid">
        <fgColor rgb="00DDEBF7"/>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0">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3" borderId="1" applyAlignment="1" pivotButton="0" quotePrefix="0" xfId="0">
      <alignment horizontal="center" vertical="center"/>
    </xf>
    <xf numFmtId="0" fontId="4" fillId="0" borderId="1" applyAlignment="1" pivotButton="0" quotePrefix="0" xfId="0">
      <alignment horizontal="center"/>
    </xf>
    <xf numFmtId="0" fontId="4" fillId="0" borderId="1" pivotButton="0" quotePrefix="0" xfId="0"/>
    <xf numFmtId="9" fontId="4" fillId="0" borderId="1" applyAlignment="1" pivotButton="0" quotePrefix="0" xfId="0">
      <alignment horizontal="center"/>
    </xf>
    <xf numFmtId="0" fontId="7" fillId="7" borderId="1" pivotButton="0" quotePrefix="0" xfId="0"/>
    <xf numFmtId="9" fontId="7" fillId="7" borderId="1" applyAlignment="1" pivotButton="0" quotePrefix="0" xfId="0">
      <alignment horizontal="center"/>
    </xf>
    <xf numFmtId="0" fontId="7" fillId="7" borderId="1" applyAlignment="1" pivotButton="0" quotePrefix="0" xfId="0">
      <alignment horizontal="center"/>
    </xf>
    <xf numFmtId="0" fontId="2" fillId="0" borderId="0" applyAlignment="1" pivotButton="0" quotePrefix="0" xfId="0">
      <alignment wrapText="1"/>
    </xf>
    <xf numFmtId="0" fontId="3" fillId="3" borderId="1" applyAlignment="1" pivotButton="0" quotePrefix="0" xfId="0">
      <alignment horizontal="center" vertical="center" wrapText="1"/>
    </xf>
    <xf numFmtId="0" fontId="3" fillId="2" borderId="1" applyAlignment="1" pivotButton="0" quotePrefix="0" xfId="0">
      <alignment horizontal="center" vertical="top"/>
    </xf>
    <xf numFmtId="0" fontId="3" fillId="2" borderId="1" applyAlignment="1" pivotButton="0" quotePrefix="0" xfId="0">
      <alignment vertical="top" wrapText="1"/>
    </xf>
    <xf numFmtId="165" fontId="3" fillId="2" borderId="1" applyAlignment="1" pivotButton="0" quotePrefix="0" xfId="0">
      <alignment horizontal="center" vertical="top"/>
    </xf>
    <xf numFmtId="9" fontId="3" fillId="2" borderId="1" applyAlignment="1" pivotButton="0" quotePrefix="0" xfId="0">
      <alignment horizontal="center" vertical="top"/>
    </xf>
    <xf numFmtId="0" fontId="7" fillId="8" borderId="1" applyAlignment="1" pivotButton="0" quotePrefix="0" xfId="0">
      <alignment horizontal="center" vertical="top"/>
    </xf>
    <xf numFmtId="0" fontId="7" fillId="8" borderId="1" applyAlignment="1" pivotButton="0" quotePrefix="0" xfId="0">
      <alignment vertical="top" wrapText="1"/>
    </xf>
    <xf numFmtId="165" fontId="7" fillId="8" borderId="1" applyAlignment="1" pivotButton="0" quotePrefix="0" xfId="0">
      <alignment horizontal="center" vertical="top"/>
    </xf>
    <xf numFmtId="9" fontId="7" fillId="8" borderId="1" applyAlignment="1" pivotButton="0" quotePrefix="0" xfId="0">
      <alignment horizontal="center" vertical="top"/>
    </xf>
    <xf numFmtId="0" fontId="4" fillId="0" borderId="1" applyAlignment="1" pivotButton="0" quotePrefix="0" xfId="0">
      <alignment horizontal="center" vertical="top"/>
    </xf>
    <xf numFmtId="0" fontId="4" fillId="0" borderId="1" applyAlignment="1" pivotButton="0" quotePrefix="0" xfId="0">
      <alignment vertical="top" wrapText="1"/>
    </xf>
    <xf numFmtId="165" fontId="4" fillId="0" borderId="1" applyAlignment="1" pivotButton="0" quotePrefix="0" xfId="0">
      <alignment horizontal="center" vertical="top"/>
    </xf>
    <xf numFmtId="9" fontId="9" fillId="0" borderId="1" applyAlignment="1" pivotButton="0" quotePrefix="0" xfId="0">
      <alignment horizontal="center" vertical="top"/>
    </xf>
    <xf numFmtId="9" fontId="4" fillId="0" borderId="1" applyAlignment="1" pivotButton="0" quotePrefix="0" xfId="0">
      <alignment horizontal="center" vertical="top"/>
    </xf>
    <xf numFmtId="0" fontId="8" fillId="0" borderId="1" applyAlignment="1" pivotButton="0" quotePrefix="0" xfId="0">
      <alignment vertical="top" wrapText="1"/>
    </xf>
    <xf numFmtId="9" fontId="10" fillId="0" borderId="1" applyAlignment="1" pivotButton="0" quotePrefix="0" xfId="0">
      <alignment horizontal="center" vertical="top"/>
    </xf>
    <xf numFmtId="0" fontId="7" fillId="7" borderId="1" applyAlignment="1" pivotButton="0" quotePrefix="0" xfId="0">
      <alignment wrapText="1"/>
    </xf>
    <xf numFmtId="165" fontId="7" fillId="7" borderId="1" applyAlignment="1" pivotButton="0" quotePrefix="0" xfId="0">
      <alignment horizontal="center"/>
    </xf>
    <xf numFmtId="0" fontId="4" fillId="0" borderId="1" applyAlignment="1" pivotButton="0" quotePrefix="0" xfId="0">
      <alignment vertical="center" wrapText="1"/>
    </xf>
    <xf numFmtId="0" fontId="4" fillId="4" borderId="1" applyAlignment="1" pivotButton="0" quotePrefix="0" xfId="0">
      <alignment vertical="center" wrapText="1"/>
    </xf>
    <xf numFmtId="9" fontId="4" fillId="4" borderId="1" applyAlignment="1" pivotButton="0" quotePrefix="0" xfId="0">
      <alignment horizontal="center"/>
    </xf>
    <xf numFmtId="0" fontId="5" fillId="5" borderId="1" applyAlignment="1" pivotButton="0" quotePrefix="0" xfId="0">
      <alignment vertical="center"/>
    </xf>
    <xf numFmtId="0" fontId="0" fillId="0" borderId="1" pivotButton="0" quotePrefix="0" xfId="0"/>
    <xf numFmtId="0" fontId="6" fillId="6" borderId="1" applyAlignment="1" pivotButton="0" quotePrefix="0" xfId="0">
      <alignment horizontal="center"/>
    </xf>
    <xf numFmtId="0" fontId="6" fillId="6" borderId="1" applyAlignment="1" pivotButton="0" quotePrefix="0" xfId="0">
      <alignment vertical="center" wrapText="1"/>
    </xf>
    <xf numFmtId="9" fontId="6" fillId="6" borderId="1" applyAlignment="1" pivotButton="0" quotePrefix="0" xfId="0">
      <alignment horizontal="center"/>
    </xf>
    <xf numFmtId="0" fontId="7" fillId="7" borderId="1" applyAlignment="1" pivotButton="0" quotePrefix="0" xfId="0">
      <alignment vertical="center" wrapText="1"/>
    </xf>
    <xf numFmtId="9" fontId="7" fillId="7" borderId="1" applyAlignment="1" pivotButton="0" quotePrefix="0" xfId="0">
      <alignment horizontal="center" vertical="center"/>
    </xf>
    <xf numFmtId="0" fontId="7" fillId="7" borderId="1" applyAlignment="1" pivotButton="0" quotePrefix="0" xfId="0">
      <alignment horizontal="center" vertical="center"/>
    </xf>
  </cellXfs>
  <cellStyles count="1">
    <cellStyle name="Normal" xfId="0" builtinId="0" hidden="0"/>
  </cellStyles>
  <dxfs count="3">
    <dxf>
      <font>
        <name val="Arial"/>
        <color rgb="00006100"/>
      </font>
      <fill>
        <patternFill patternType="solid">
          <fgColor rgb="00C6EFCE"/>
        </patternFill>
      </fill>
    </dxf>
    <dxf>
      <font>
        <name val="Arial"/>
        <color rgb="009C6500"/>
      </font>
      <fill>
        <patternFill patternType="solid">
          <fgColor rgb="00FFEB9C"/>
        </patternFill>
      </fill>
    </dxf>
    <dxf>
      <font>
        <name val="Arial"/>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styles" Target="styles.xml" Id="rId26" /><Relationship Type="http://schemas.openxmlformats.org/officeDocument/2006/relationships/theme" Target="theme/theme1.xml" Id="rId27" /></Relationships>
</file>

<file path=xl/comments/comment1.xml><?xml version="1.0" encoding="utf-8"?>
<comments xmlns="http://schemas.openxmlformats.org/spreadsheetml/2006/main">
  <authors>
    <author>Analysis</author>
  </authors>
  <commentList>
    <comment ref="E37" authorId="0" shapeId="0">
      <text>
        <t>Danh dau hoan thanh (100%) theo xac nhan cua nhom du an. Tien do thuc te cua cac module nen tang xem bang module phia tren; cac hang muc con thieu (Swagger, audit export/retention, dang ky AddressModule/TasksModule...) van duoc theo doi trong sheet module.</t>
      </text>
    </comment>
    <comment ref="D38" authorId="0" shapeId="0">
      <text>
        <t>Can xac nhan:
Ngay ket thuc giai doan (24/10/26) som hon ngay ket thuc cua hang muc con 1 / 1.3 (14/11/26), trong khi giai doan II bat dau 16/11/26. Can xac nhan lai ngay ket thuc - co the la 14/11/26.</t>
      </text>
    </comment>
    <comment ref="D60" authorId="0" shapeId="0">
      <text>
        <t>Can xac nhan:
Ngay ket thuc giai doan (5/2/28) som hon ngay ket thuc cua hang muc con 9 - Khoi Thiet ke (1/4/28), trong khi giai doan IV bat dau 3/4/28. Can xac nhan lai ngay ket thuc - co the la 1/4/28.</t>
      </text>
    </comment>
  </commentList>
</comments>
</file>

<file path=xl/comments/comment2.xml><?xml version="1.0" encoding="utf-8"?>
<comments xmlns="http://schemas.openxmlformats.org/spreadsheetml/2006/main">
  <authors>
    <author>Analysis</author>
  </authors>
  <commentList>
    <comment ref="B11" authorId="0" shapeId="0">
      <text>
        <t>Ghi chu ky thuat:
auth.service.ts forgotPassword() nap quan he profile nen kenh Zalo chay duoc, nhung phu thuoc ZALO_ACCESS_TOKEN/ZALO_OTP_TEMPLATE_ID va chua co test.</t>
      </text>
    </comment>
    <comment ref="B15" authorId="0" shapeId="0">
      <text>
        <t>Ghi chu ky thuat:
sendVerifyOTP() dung findOneBy() khong nap quan he profile, nen nhanh channel='zalo' luon thieu phoneNumber. Nhanh email hoat dong day du.</t>
      </text>
    </comment>
    <comment ref="B26" authorId="0" shapeId="0">
      <text>
        <t>Hang muc toi uu hoa tuong lai - danh dau In progress, KHONG tinh vao Progress cua module.</t>
      </text>
    </comment>
    <comment ref="B27" authorId="0" shapeId="0">
      <text>
        <t>Hang muc toi uu hoa tuong lai - danh dau In progress, KHONG tinh vao Progress cua module.</t>
      </text>
    </comment>
    <comment ref="B28" authorId="0" shapeId="0">
      <text>
        <t>Hang muc toi uu hoa tuong lai - danh dau In progress, KHONG tinh vao Progress cua module.</t>
      </text>
    </comment>
  </commentList>
</comments>
</file>

<file path=xl/comments/comment3.xml><?xml version="1.0" encoding="utf-8"?>
<comments xmlns="http://schemas.openxmlformats.org/spreadsheetml/2006/main">
  <authors>
    <author>Analysis</author>
  </authors>
  <commentList>
    <comment ref="B25" authorId="0" shapeId="0">
      <text>
        <t>Hang muc toi uu hoa tuong lai - danh dau In progress, KHONG tinh vao Progress cua module.</t>
      </text>
    </comment>
    <comment ref="B26" authorId="0" shapeId="0">
      <text>
        <t>Hang muc toi uu hoa tuong lai - danh dau In progress, KHONG tinh vao Progress cua module.</t>
      </text>
    </comment>
    <comment ref="B27" authorId="0" shapeId="0">
      <text>
        <t>Hang muc toi uu hoa tuong lai - danh dau In progress, KHONG tinh vao Progress cua module.</t>
      </text>
    </comment>
  </commentList>
</comments>
</file>

<file path=xl/comments/comment4.xml><?xml version="1.0" encoding="utf-8"?>
<comments xmlns="http://schemas.openxmlformats.org/spreadsheetml/2006/main">
  <authors>
    <author>Analysis</author>
  </authors>
  <commentList>
    <comment ref="B20" authorId="0" shapeId="0">
      <text>
        <t>Hang muc toi uu hoa tuong lai - danh dau In progress, KHONG tinh vao Progress cua module.</t>
      </text>
    </comment>
    <comment ref="B21" authorId="0" shapeId="0">
      <text>
        <t>Hang muc toi uu hoa tuong lai - danh dau In progress, KHONG tinh vao Progress cua module.</t>
      </text>
    </comment>
    <comment ref="B22" authorId="0" shapeId="0">
      <text>
        <t>Hang muc toi uu hoa tuong lai - danh dau In progress, KHONG tinh vao Progress cua module.</t>
      </text>
    </comment>
  </commentList>
</comments>
</file>

<file path=xl/comments/comment5.xml><?xml version="1.0" encoding="utf-8"?>
<comments xmlns="http://schemas.openxmlformats.org/spreadsheetml/2006/main">
  <authors>
    <author>Analysis</author>
  </authors>
  <commentList>
    <comment ref="B18" authorId="0" shapeId="0">
      <text>
        <t>Hang muc toi uu hoa tuong lai - danh dau In progress, KHONG tinh vao Progress cua module.</t>
      </text>
    </comment>
    <comment ref="B19" authorId="0" shapeId="0">
      <text>
        <t>Hang muc toi uu hoa tuong lai - danh dau In progress, KHONG tinh vao Progress cua module.</t>
      </text>
    </comment>
    <comment ref="B20" authorId="0" shapeId="0">
      <text>
        <t>Hang muc toi uu hoa tuong lai - danh dau In progress, KHONG tinh vao Progress cua module.</t>
      </text>
    </comment>
  </commentList>
</comments>
</file>

<file path=xl/comments/comment6.xml><?xml version="1.0" encoding="utf-8"?>
<comments xmlns="http://schemas.openxmlformats.org/spreadsheetml/2006/main">
  <authors>
    <author>Analysis</author>
  </authors>
  <commentList>
    <comment ref="B17" authorId="0" shapeId="0">
      <text>
        <t>Hang muc toi uu hoa tuong lai - danh dau In progress, KHONG tinh vao Progress cua module.</t>
      </text>
    </comment>
    <comment ref="B18" authorId="0" shapeId="0">
      <text>
        <t>Hang muc toi uu hoa tuong lai - danh dau In progress, KHONG tinh vao Progress cua module.</t>
      </text>
    </comment>
    <comment ref="B19" authorId="0" shapeId="0">
      <text>
        <t>Hang muc toi uu hoa tuong lai - danh dau In progress, KHONG tinh vao Progress cua module.</t>
      </text>
    </comment>
  </commentList>
</comments>
</file>

<file path=xl/comments/comment7.xml><?xml version="1.0" encoding="utf-8"?>
<comments xmlns="http://schemas.openxmlformats.org/spreadsheetml/2006/main">
  <authors>
    <author>Analysis</author>
  </authors>
  <commentList>
    <comment ref="B13" authorId="0" shapeId="0">
      <text>
        <t>Ghi chu ky thuat:
Khong co file *.spec.ts nao trong src/departments.</t>
      </text>
    </comment>
    <comment ref="B14" authorId="0" shapeId="0">
      <text>
        <t>Hang muc toi uu hoa tuong lai - danh dau In progress, KHONG tinh vao Progress cua module.</t>
      </text>
    </comment>
    <comment ref="B15" authorId="0" shapeId="0">
      <text>
        <t>Hang muc toi uu hoa tuong lai - danh dau In progress, KHONG tinh vao Progress cua module.</t>
      </text>
    </comment>
    <comment ref="B16" authorId="0" shapeId="0">
      <text>
        <t>Hang muc toi uu hoa tuong lai - danh dau In progress, KHONG tinh vao Progress cua module.</t>
      </text>
    </comment>
  </commentList>
</comments>
</file>

<file path=xl/comments/comment8.xml><?xml version="1.0" encoding="utf-8"?>
<comments xmlns="http://schemas.openxmlformats.org/spreadsheetml/2006/main">
  <authors>
    <author>Analysis</author>
  </authors>
  <commentList>
    <comment ref="B10" authorId="0" shapeId="0">
      <text>
        <t>Ghi chu ky thuat:
employee-profile.entity.ts chi co cot is_live (boolean). Chua co enum trang thai lao dong, lich su thay doi trang thai hay ngay nghi viec.</t>
      </text>
    </comment>
    <comment ref="B11" authorId="0" shapeId="0">
      <text>
        <t>Ghi chu ky thuat:
Khong co entity / service / API hop dong lao dong nao trong src (ke hoach 1.1).</t>
      </text>
    </comment>
    <comment ref="B13" authorId="0" shapeId="0">
      <text>
        <t>Ghi chu ky thuat:
Khong co file *.spec.ts nao trong src/employee-profiles.</t>
      </text>
    </comment>
    <comment ref="B14" authorId="0" shapeId="0">
      <text>
        <t>Hang muc toi uu hoa tuong lai - danh dau In progress, KHONG tinh vao Progress cua module.</t>
      </text>
    </comment>
    <comment ref="B15" authorId="0" shapeId="0">
      <text>
        <t>Hang muc toi uu hoa tuong lai - danh dau In progress, KHONG tinh vao Progress cua module.</t>
      </text>
    </comment>
    <comment ref="B16" authorId="0" shapeId="0">
      <text>
        <t>Hang muc toi uu hoa tuong lai - danh dau In progress, KHONG tinh vao Progress cua module.</t>
      </text>
    </comment>
  </commentList>
</comments>
</file>

<file path=xl/comments/comment9.xml><?xml version="1.0" encoding="utf-8"?>
<comments xmlns="http://schemas.openxmlformats.org/spreadsheetml/2006/main">
  <authors>
    <author>Analysis</author>
  </authors>
  <commentList>
    <comment ref="B10" authorId="0" shapeId="0">
      <text>
        <t>Ghi chu ky thuat:
Khong co file *.spec.ts nao trong src/identity.</t>
      </text>
    </comment>
    <comment ref="B11" authorId="0" shapeId="0">
      <text>
        <t>Hang muc toi uu hoa tuong lai - danh dau In progress, KHONG tinh vao Progress cua module.</t>
      </text>
    </comment>
    <comment ref="B12" authorId="0" shapeId="0">
      <text>
        <t>Hang muc toi uu hoa tuong lai - danh dau In progress, KHONG tinh vao Progress cua module.</t>
      </text>
    </comment>
    <comment ref="B13" authorId="0" shapeId="0">
      <text>
        <t>Hang muc toi uu hoa tuong lai - danh dau In progress, KHONG tinh vao Progress cua module.</t>
      </text>
    </comment>
  </commentList>
</comments>
</file>

<file path=xl/comments/comment10.xml><?xml version="1.0" encoding="utf-8"?>
<comments xmlns="http://schemas.openxmlformats.org/spreadsheetml/2006/main">
  <authors>
    <author>Analysis</author>
  </authors>
  <commentList>
    <comment ref="B8" authorId="0" shapeId="0">
      <text>
        <t>Ghi chu ky thuat:
Service chi nhan imageUrl co san (UpdateUserAvatarDto); chua co luong upload file qua S3StorageService.</t>
      </text>
    </comment>
    <comment ref="B10" authorId="0" shapeId="0">
      <text>
        <t>Ghi chu ky thuat:
Khong co file *.spec.ts nao trong src/user-avatars.</t>
      </text>
    </comment>
  </commentList>
</comments>
</file>

<file path=xl/comments/comment11.xml><?xml version="1.0" encoding="utf-8"?>
<comments xmlns="http://schemas.openxmlformats.org/spreadsheetml/2006/main">
  <authors>
    <author>Analysis</author>
  </authors>
  <commentList>
    <comment ref="B28" authorId="0" shapeId="0">
      <text>
        <t>Ghi chu ky thuat:
Khong co file *.spec.ts nao trong src/notifications.</t>
      </text>
    </comment>
    <comment ref="B29" authorId="0" shapeId="0">
      <text>
        <t>Hang muc toi uu hoa tuong lai - danh dau In progress, KHONG tinh vao Progress cua module.</t>
      </text>
    </comment>
    <comment ref="B30" authorId="0" shapeId="0">
      <text>
        <t>Hang muc toi uu hoa tuong lai - danh dau In progress, KHONG tinh vao Progress cua module.</t>
      </text>
    </comment>
    <comment ref="B31" authorId="0" shapeId="0">
      <text>
        <t>Hang muc toi uu hoa tuong lai - danh dau In progress, KHONG tinh vao Progress cua module.</t>
      </text>
    </comment>
  </commentList>
</comments>
</file>

<file path=xl/comments/comment12.xml><?xml version="1.0" encoding="utf-8"?>
<comments xmlns="http://schemas.openxmlformats.org/spreadsheetml/2006/main">
  <authors>
    <author>Analysis</author>
  </authors>
  <commentList>
    <comment ref="B10" authorId="0" shapeId="0">
      <text>
        <t>Ghi chu ky thuat:
Entity AuditExportJob va repository da duoc khai bao/inject trong audit-log.service.ts nhung khong co method nao su dung. Chua co API, chua co worker.</t>
      </text>
    </comment>
    <comment ref="B11" authorId="0" shapeId="0">
      <text>
        <t>Ghi chu ky thuat:
Entity AuditRetentionPolicy va repository da duoc inject nhung khong co logic ap dung, khong co cron xoa theo chinh sach.</t>
      </text>
    </comment>
    <comment ref="B13" authorId="0" shapeId="0">
      <text>
        <t>Ghi chu ky thuat:
Khong co file *.spec.ts nao trong src/audit-log.</t>
      </text>
    </comment>
    <comment ref="B14" authorId="0" shapeId="0">
      <text>
        <t>Hang muc toi uu hoa tuong lai - danh dau In progress, KHONG tinh vao Progress cua module.</t>
      </text>
    </comment>
    <comment ref="B15" authorId="0" shapeId="0">
      <text>
        <t>Hang muc toi uu hoa tuong lai - danh dau In progress, KHONG tinh vao Progress cua module.</t>
      </text>
    </comment>
    <comment ref="B16" authorId="0" shapeId="0">
      <text>
        <t>Hang muc toi uu hoa tuong lai - danh dau In progress, KHONG tinh vao Progress cua module.</t>
      </text>
    </comment>
  </commentList>
</comments>
</file>

<file path=xl/comments/comment13.xml><?xml version="1.0" encoding="utf-8"?>
<comments xmlns="http://schemas.openxmlformats.org/spreadsheetml/2006/main">
  <authors>
    <author>Analysis</author>
  </authors>
  <commentList>
    <comment ref="B18" authorId="0" shapeId="0">
      <text>
        <t>Ghi chu ky thuat:
Khong co file *.spec.ts nao trong src/tickets.</t>
      </text>
    </comment>
    <comment ref="B19" authorId="0" shapeId="0">
      <text>
        <t>Hang muc toi uu hoa tuong lai - danh dau In progress, KHONG tinh vao Progress cua module.</t>
      </text>
    </comment>
    <comment ref="B20" authorId="0" shapeId="0">
      <text>
        <t>Hang muc toi uu hoa tuong lai - danh dau In progress, KHONG tinh vao Progress cua module.</t>
      </text>
    </comment>
    <comment ref="B21" authorId="0" shapeId="0">
      <text>
        <t>Hang muc toi uu hoa tuong lai - danh dau In progress, KHONG tinh vao Progress cua module.</t>
      </text>
    </comment>
  </commentList>
</comments>
</file>

<file path=xl/comments/comment14.xml><?xml version="1.0" encoding="utf-8"?>
<comments xmlns="http://schemas.openxmlformats.org/spreadsheetml/2006/main">
  <authors>
    <author>Analysis</author>
  </authors>
  <commentList>
    <comment ref="B13" authorId="0" shapeId="0">
      <text>
        <t>Ghi chu ky thuat:
Khong co file *.spec.ts nao trong src/ats.</t>
      </text>
    </comment>
    <comment ref="B14" authorId="0" shapeId="0">
      <text>
        <t>Hang muc toi uu hoa tuong lai - danh dau In progress, KHONG tinh vao Progress cua module.</t>
      </text>
    </comment>
    <comment ref="B15" authorId="0" shapeId="0">
      <text>
        <t>Hang muc toi uu hoa tuong lai - danh dau In progress, KHONG tinh vao Progress cua module.</t>
      </text>
    </comment>
    <comment ref="B16" authorId="0" shapeId="0">
      <text>
        <t>Hang muc toi uu hoa tuong lai - danh dau In progress, KHONG tinh vao Progress cua module.</t>
      </text>
    </comment>
  </commentList>
</comments>
</file>

<file path=xl/comments/comment15.xml><?xml version="1.0" encoding="utf-8"?>
<comments xmlns="http://schemas.openxmlformats.org/spreadsheetml/2006/main">
  <authors>
    <author>Analysis</author>
  </authors>
  <commentList>
    <comment ref="B14" authorId="0" shapeId="0">
      <text>
        <t>Ghi chu ky thuat:
JobPublishingService.dispatchToPlatforms() chi sinh ID gia lap (`ln_job_${Date.now()}`, `topcv_${Date.now()}`...) va ghi log; chua goi API that cua LinkedIn / TopCV / VietnamWorks / Facebook.</t>
      </text>
    </comment>
    <comment ref="B15" authorId="0" shapeId="0">
      <text>
        <t>Ghi chu ky thuat:
unlistFromPlatforms() chi duyet externalMapping va ghi log, khong goi API thu hoi.</t>
      </text>
    </comment>
    <comment ref="B18" authorId="0" shapeId="0">
      <text>
        <t>Ghi chu ky thuat:
Khong co file *.spec.ts nao trong src/ats.</t>
      </text>
    </comment>
    <comment ref="B19" authorId="0" shapeId="0">
      <text>
        <t>Hang muc toi uu hoa tuong lai - danh dau In progress, KHONG tinh vao Progress cua module.</t>
      </text>
    </comment>
    <comment ref="B20" authorId="0" shapeId="0">
      <text>
        <t>Hang muc toi uu hoa tuong lai - danh dau In progress, KHONG tinh vao Progress cua module.</t>
      </text>
    </comment>
    <comment ref="B21" authorId="0" shapeId="0">
      <text>
        <t>Hang muc toi uu hoa tuong lai - danh dau In progress, KHONG tinh vao Progress cua module.</t>
      </text>
    </comment>
  </commentList>
</comments>
</file>

<file path=xl/comments/comment16.xml><?xml version="1.0" encoding="utf-8"?>
<comments xmlns="http://schemas.openxmlformats.org/spreadsheetml/2006/main">
  <authors>
    <author>Analysis</author>
  </authors>
  <commentList>
    <comment ref="B10" authorId="0" shapeId="0">
      <text>
        <t>Ghi chu ky thuat:
Khong co file *.spec.ts nao trong src/ats.</t>
      </text>
    </comment>
    <comment ref="B11" authorId="0" shapeId="0">
      <text>
        <t>Hang muc toi uu hoa tuong lai - danh dau In progress, KHONG tinh vao Progress cua module.</t>
      </text>
    </comment>
    <comment ref="B12" authorId="0" shapeId="0">
      <text>
        <t>Hang muc toi uu hoa tuong lai - danh dau In progress, KHONG tinh vao Progress cua module.</t>
      </text>
    </comment>
    <comment ref="B13" authorId="0" shapeId="0">
      <text>
        <t>Hang muc toi uu hoa tuong lai - danh dau In progress, KHONG tinh vao Progress cua module.</t>
      </text>
    </comment>
  </commentList>
</comments>
</file>

<file path=xl/comments/comment17.xml><?xml version="1.0" encoding="utf-8"?>
<comments xmlns="http://schemas.openxmlformats.org/spreadsheetml/2006/main">
  <authors>
    <author>Analysis</author>
  </authors>
  <commentList>
    <comment ref="B17" authorId="0" shapeId="0">
      <text>
        <t>Ghi chu ky thuat:
Pipeline co phase INTERVIEWING / OFFERED (ats.enum.ts) nhung khong co entity lich phong van hay scorecard danh gia cua nguoi phong van (ke hoach 1.2).</t>
      </text>
    </comment>
    <comment ref="B19" authorId="0" shapeId="0">
      <text>
        <t>Ghi chu ky thuat:
Khong co file *.spec.ts nao trong src/ats.</t>
      </text>
    </comment>
    <comment ref="B20" authorId="0" shapeId="0">
      <text>
        <t>Hang muc toi uu hoa tuong lai - danh dau In progress, KHONG tinh vao Progress cua module.</t>
      </text>
    </comment>
    <comment ref="B21" authorId="0" shapeId="0">
      <text>
        <t>Hang muc toi uu hoa tuong lai - danh dau In progress, KHONG tinh vao Progress cua module.</t>
      </text>
    </comment>
    <comment ref="B22" authorId="0" shapeId="0">
      <text>
        <t>Hang muc toi uu hoa tuong lai - danh dau In progress, KHONG tinh vao Progress cua module.</t>
      </text>
    </comment>
  </commentList>
</comments>
</file>

<file path=xl/comments/comment18.xml><?xml version="1.0" encoding="utf-8"?>
<comments xmlns="http://schemas.openxmlformats.org/spreadsheetml/2006/main">
  <authors>
    <author>Analysis</author>
  </authors>
  <commentList>
    <comment ref="B17" authorId="0" shapeId="0">
      <text>
        <t>Ghi chu ky thuat:
Khong co file *.spec.ts nao trong src/ats.</t>
      </text>
    </comment>
  </commentList>
</comments>
</file>

<file path=xl/comments/comment19.xml><?xml version="1.0" encoding="utf-8"?>
<comments xmlns="http://schemas.openxmlformats.org/spreadsheetml/2006/main">
  <authors>
    <author>Analysis</author>
  </authors>
  <commentList>
    <comment ref="B15" authorId="0" shapeId="0">
      <text>
        <t>Ghi chu ky thuat:
Khong co file *.spec.ts nao trong src/ats.</t>
      </text>
    </comment>
  </commentList>
</comments>
</file>

<file path=xl/comments/comment20.xml><?xml version="1.0" encoding="utf-8"?>
<comments xmlns="http://schemas.openxmlformats.org/spreadsheetml/2006/main">
  <authors>
    <author>Analysis</author>
  </authors>
  <commentList>
    <comment ref="B20" authorId="0" shapeId="0">
      <text>
        <t>Ghi chu ky thuat:
topcv-publisher.strategy.ts la scaffold: publish() luon tra ve success=false kem thong bao 'chua trien khai'. TODO trong file: can selector DOM that tu phien dang nhap TopCV Enterprise.</t>
      </text>
    </comment>
    <comment ref="B21" authorId="0" shapeId="0">
      <text>
        <t>Ghi chu ky thuat:
careerviet-publisher.strategy.ts la scaffold tuong tu TopCV: TODO can selector that tu phien recruiter CareerViet.</t>
      </text>
    </comment>
    <comment ref="B25" authorId="0" shapeId="0">
      <text>
        <t>Ghi chu ky thuat:
Khong co file *.spec.ts nao trong src/publishing-automation.</t>
      </text>
    </comment>
    <comment ref="B26" authorId="0" shapeId="0">
      <text>
        <t>Hang muc toi uu hoa tuong lai - danh dau In progress, KHONG tinh vao Progress cua module.</t>
      </text>
    </comment>
    <comment ref="B27" authorId="0" shapeId="0">
      <text>
        <t>Hang muc toi uu hoa tuong lai - danh dau In progress, KHONG tinh vao Progress cua module.</t>
      </text>
    </comment>
    <comment ref="B28" authorId="0" shapeId="0">
      <text>
        <t>Hang muc toi uu hoa tuong lai - danh dau In progress, KHONG tinh vao Progress cua module.</t>
      </text>
    </comment>
  </commentList>
</comments>
</file>

<file path=xl/comments/comment21.xml><?xml version="1.0" encoding="utf-8"?>
<comments xmlns="http://schemas.openxmlformats.org/spreadsheetml/2006/main">
  <authors>
    <author>Analysis</author>
  </authors>
  <commentList>
    <comment ref="B9" authorId="0" shapeId="0">
      <text>
        <t>Ghi chu ky thuat:
AddressModule ton tai day du nhung KHONG duoc import trong src/app.module.ts, nen cac route /address khong duoc mount khi chay app.</t>
      </text>
    </comment>
  </commentList>
</comments>
</file>

<file path=xl/comments/comment22.xml><?xml version="1.0" encoding="utf-8"?>
<comments xmlns="http://schemas.openxmlformats.org/spreadsheetml/2006/main">
  <authors>
    <author>Analysis</author>
  </authors>
  <commentList>
    <comment ref="B9" authorId="0" shapeId="0">
      <text>
        <t>Ghi chu ky thuat:
TasksModule (controller /admin/tasks + cleanupUnverifiedUsers) ton tai nhung KHONG duoc import trong src/app.module.ts. Chi CronModule duoc dang ky.</t>
      </text>
    </comment>
    <comment ref="B11" authorId="0" shapeId="0">
      <text>
        <t>Ghi chu ky thuat:
Khong co file *.spec.ts trong src/cron hoac src/tasks.</t>
      </text>
    </comment>
  </commentList>
</comments>
</file>

<file path=xl/comments/comment23.xml><?xml version="1.0" encoding="utf-8"?>
<comments xmlns="http://schemas.openxmlformats.org/spreadsheetml/2006/main">
  <authors>
    <author>Analysis</author>
  </authors>
  <commentList>
    <comment ref="B7" authorId="0" shapeId="0">
      <text>
        <t>Ghi chu ky thuat:
Ton tai song song src/mail/mail.service.ts (sendVerificationLink, sendVerificationOTP) va src/common/services/mail.service.ts (sendVerificationOtp). auth.service.ts inject ca hai (mailService + mService) - can gop lai mot service duy nhat.</t>
      </text>
    </comment>
    <comment ref="B8" authorId="0" shapeId="0">
      <text>
        <t>Ghi chu ky thuat:
Khong co thu muc template; noi dung email dang duoc dung chuoi truc tiep trong service.</t>
      </text>
    </comment>
    <comment ref="B10" authorId="0" shapeId="0">
      <text>
        <t>Ghi chu ky thuat:
Khong co file *.spec.ts trong src/mail.</t>
      </text>
    </comment>
  </commentList>
</comments>
</file>

<file path=xl/comments/comment24.xml><?xml version="1.0" encoding="utf-8"?>
<comments xmlns="http://schemas.openxmlformats.org/spreadsheetml/2006/main">
  <authors>
    <author>Analysis</author>
  </authors>
  <commentList>
    <comment ref="B23" authorId="0" shapeId="0">
      <text>
        <t>Ghi chu ky thuat:
@nestjs/swagger khong co trong package.json va main.ts khong setup SwaggerModule. Toan bo API hien khong co tai lieu tu sinh.</t>
      </text>
    </comment>
    <comment ref="B25" authorId="0" shapeId="0">
      <text>
        <t>Ghi chu ky thuat:
test/app.e2e-spec.ts van la scaffold mac dinh cua Nest (chi kiem tra GET /), chua bao phu luong nghiep vu nao.</t>
      </text>
    </comment>
  </commentList>
</comments>
</file>

<file path=xl/comments/comment25.xml><?xml version="1.0" encoding="utf-8"?>
<comments xmlns="http://schemas.openxmlformats.org/spreadsheetml/2006/main">
  <authors>
    <author>Analysis</author>
  </authors>
  <commentList>
    <comment ref="B12" authorId="0" shapeId="0">
      <text>
        <t>Ghi chu ky thuat:
.env.example ton tai nhung rong (0 byte) - nguoi moi khong biet can bien moi truong nao.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5.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6.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7.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8.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9.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0.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1.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2.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3.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14.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15.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16.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17.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18.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19.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0.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1.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2.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23.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24.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_rels/sheet25.xml.rels><Relationships xmlns="http://schemas.openxmlformats.org/package/2006/relationships"><Relationship Type="http://schemas.openxmlformats.org/officeDocument/2006/relationships/comments" Target="/xl/comments/comment25.xml" Id="comments" /><Relationship Type="http://schemas.openxmlformats.org/officeDocument/2006/relationships/vmlDrawing" Target="/xl/drawings/commentsDrawing25.vml" Id="anysvml" /></Relationships>
</file>

<file path=xl/worksheets/sheet1.xml><?xml version="1.0" encoding="utf-8"?>
<worksheet xmlns="http://schemas.openxmlformats.org/spreadsheetml/2006/main">
  <sheetPr>
    <outlinePr summaryBelow="1" summaryRight="1"/>
    <pageSetUpPr/>
  </sheetPr>
  <dimension ref="A1:I90"/>
  <sheetViews>
    <sheetView workbookViewId="0">
      <selection activeCell="A1" sqref="A1"/>
    </sheetView>
  </sheetViews>
  <sheetFormatPr baseColWidth="8" defaultRowHeight="15"/>
  <cols>
    <col width="7" customWidth="1" min="1" max="1"/>
    <col width="70" customWidth="1" min="2" max="2"/>
    <col width="12" customWidth="1" min="3" max="3"/>
    <col width="15" customWidth="1" min="4" max="4"/>
    <col width="11" customWidth="1" min="5" max="5"/>
    <col width="13" customWidth="1" min="6" max="6"/>
    <col width="11" customWidth="1" min="7" max="7"/>
    <col width="15" customWidth="1" min="8" max="8"/>
    <col width="42" customWidth="1" min="9" max="9"/>
  </cols>
  <sheetData>
    <row r="1" ht="26" customHeight="1">
      <c r="A1" s="1" t="inlineStr">
        <is>
          <t>ERP API — Tiến độ theo Module</t>
        </is>
      </c>
    </row>
    <row r="2">
      <c r="A2" s="2" t="inlineStr">
        <is>
          <t>Mỗi sheet = 1 module · mỗi dòng = 1 feature. Số liệu tổng hợp bên dưới tham chiếu trực tiếp từ các sheet module.</t>
        </is>
      </c>
    </row>
    <row r="3" ht="20" customHeight="1">
      <c r="A3" s="3" t="inlineStr">
        <is>
          <t>No</t>
        </is>
      </c>
      <c r="B3" s="3" t="inlineStr">
        <is>
          <t>Module</t>
        </is>
      </c>
      <c r="C3" s="3" t="inlineStr">
        <is>
          <t>Progress</t>
        </is>
      </c>
      <c r="D3" s="3" t="inlineStr">
        <is>
          <t>isDone</t>
        </is>
      </c>
    </row>
    <row r="4">
      <c r="A4" s="4" t="n">
        <v>1</v>
      </c>
      <c r="B4" s="5" t="inlineStr">
        <is>
          <t>Auth</t>
        </is>
      </c>
      <c r="C4" s="6">
        <f>AVERAGE('Auth'!C4:C23)</f>
        <v/>
      </c>
      <c r="D4" s="4">
        <f>IF(C4&gt;=1,"Finished",IF(C4&lt;=0,"Not started","In progress"))</f>
        <v/>
      </c>
    </row>
    <row r="5">
      <c r="A5" s="4" t="n">
        <v>2</v>
      </c>
      <c r="B5" s="5" t="inlineStr">
        <is>
          <t>Users</t>
        </is>
      </c>
      <c r="C5" s="6">
        <f>AVERAGE('Users'!C4:C22)</f>
        <v/>
      </c>
      <c r="D5" s="4">
        <f>IF(C5&gt;=1,"Finished",IF(C5&lt;=0,"Not started","In progress"))</f>
        <v/>
      </c>
    </row>
    <row r="6">
      <c r="A6" s="4" t="n">
        <v>3</v>
      </c>
      <c r="B6" s="5" t="inlineStr">
        <is>
          <t>Roles</t>
        </is>
      </c>
      <c r="C6" s="6">
        <f>AVERAGE('Roles'!C4:C17)</f>
        <v/>
      </c>
      <c r="D6" s="4">
        <f>IF(C6&gt;=1,"Finished",IF(C6&lt;=0,"Not started","In progress"))</f>
        <v/>
      </c>
    </row>
    <row r="7">
      <c r="A7" s="4" t="n">
        <v>4</v>
      </c>
      <c r="B7" s="5" t="inlineStr">
        <is>
          <t>Permissions</t>
        </is>
      </c>
      <c r="C7" s="6">
        <f>AVERAGE('Permissions'!C4:C15)</f>
        <v/>
      </c>
      <c r="D7" s="4">
        <f>IF(C7&gt;=1,"Finished",IF(C7&lt;=0,"Not started","In progress"))</f>
        <v/>
      </c>
    </row>
    <row r="8">
      <c r="A8" s="4" t="n">
        <v>5</v>
      </c>
      <c r="B8" s="5" t="inlineStr">
        <is>
          <t>System Resources</t>
        </is>
      </c>
      <c r="C8" s="6">
        <f>AVERAGE('System Resources'!C4:C14)</f>
        <v/>
      </c>
      <c r="D8" s="4">
        <f>IF(C8&gt;=1,"Finished",IF(C8&lt;=0,"Not started","In progress"))</f>
        <v/>
      </c>
    </row>
    <row r="9">
      <c r="A9" s="4" t="n">
        <v>6</v>
      </c>
      <c r="B9" s="5" t="inlineStr">
        <is>
          <t>Departments</t>
        </is>
      </c>
      <c r="C9" s="6">
        <f>AVERAGE('Departments'!C4:C11)</f>
        <v/>
      </c>
      <c r="D9" s="4">
        <f>IF(C9&gt;=1,"Finished",IF(C9&lt;=0,"Not started","In progress"))</f>
        <v/>
      </c>
    </row>
    <row r="10">
      <c r="A10" s="4" t="n">
        <v>7</v>
      </c>
      <c r="B10" s="5" t="inlineStr">
        <is>
          <t>Employee Profiles</t>
        </is>
      </c>
      <c r="C10" s="6">
        <f>AVERAGE('Employee Profiles'!C4:C11)</f>
        <v/>
      </c>
      <c r="D10" s="4">
        <f>IF(C10&gt;=1,"Finished",IF(C10&lt;=0,"Not started","In progress"))</f>
        <v/>
      </c>
    </row>
    <row r="11">
      <c r="A11" s="4" t="n">
        <v>8</v>
      </c>
      <c r="B11" s="5" t="inlineStr">
        <is>
          <t>Identity (CCCD)</t>
        </is>
      </c>
      <c r="C11" s="6">
        <f>AVERAGE('Identity (CCCD)'!C4:C8)</f>
        <v/>
      </c>
      <c r="D11" s="4">
        <f>IF(C11&gt;=1,"Finished",IF(C11&lt;=0,"Not started","In progress"))</f>
        <v/>
      </c>
    </row>
    <row r="12">
      <c r="A12" s="4" t="n">
        <v>9</v>
      </c>
      <c r="B12" s="5" t="inlineStr">
        <is>
          <t>User Avatars</t>
        </is>
      </c>
      <c r="C12" s="6">
        <f>AVERAGE('User Avatars'!C4:C8)</f>
        <v/>
      </c>
      <c r="D12" s="4">
        <f>IF(C12&gt;=1,"Finished",IF(C12&lt;=0,"Not started","In progress"))</f>
        <v/>
      </c>
    </row>
    <row r="13">
      <c r="A13" s="4" t="n">
        <v>10</v>
      </c>
      <c r="B13" s="5" t="inlineStr">
        <is>
          <t>Notifications</t>
        </is>
      </c>
      <c r="C13" s="6">
        <f>AVERAGE('Notifications'!C4:C26)</f>
        <v/>
      </c>
      <c r="D13" s="4">
        <f>IF(C13&gt;=1,"Finished",IF(C13&lt;=0,"Not started","In progress"))</f>
        <v/>
      </c>
    </row>
    <row r="14">
      <c r="A14" s="4" t="n">
        <v>11</v>
      </c>
      <c r="B14" s="5" t="inlineStr">
        <is>
          <t>Audit Log</t>
        </is>
      </c>
      <c r="C14" s="6">
        <f>AVERAGE('Audit Log'!C4:C11)</f>
        <v/>
      </c>
      <c r="D14" s="4">
        <f>IF(C14&gt;=1,"Finished",IF(C14&lt;=0,"Not started","In progress"))</f>
        <v/>
      </c>
    </row>
    <row r="15">
      <c r="A15" s="4" t="n">
        <v>12</v>
      </c>
      <c r="B15" s="5" t="inlineStr">
        <is>
          <t>Tickets</t>
        </is>
      </c>
      <c r="C15" s="6">
        <f>AVERAGE('Tickets'!C4:C16)</f>
        <v/>
      </c>
      <c r="D15" s="4">
        <f>IF(C15&gt;=1,"Finished",IF(C15&lt;=0,"Not started","In progress"))</f>
        <v/>
      </c>
    </row>
    <row r="16">
      <c r="A16" s="4" t="n">
        <v>13</v>
      </c>
      <c r="B16" s="5" t="inlineStr">
        <is>
          <t>ATS - Recruitment Requests</t>
        </is>
      </c>
      <c r="C16" s="6">
        <f>AVERAGE('ATS - Recruitment Requests'!C4:C11)</f>
        <v/>
      </c>
      <c r="D16" s="4">
        <f>IF(C16&gt;=1,"Finished",IF(C16&lt;=0,"Not started","In progress"))</f>
        <v/>
      </c>
    </row>
    <row r="17">
      <c r="A17" s="4" t="n">
        <v>14</v>
      </c>
      <c r="B17" s="5" t="inlineStr">
        <is>
          <t>ATS - Job Posts</t>
        </is>
      </c>
      <c r="C17" s="6">
        <f>AVERAGE('ATS - Job Posts'!C4:C16)</f>
        <v/>
      </c>
      <c r="D17" s="4">
        <f>IF(C17&gt;=1,"Finished",IF(C17&lt;=0,"Not started","In progress"))</f>
        <v/>
      </c>
    </row>
    <row r="18">
      <c r="A18" s="4" t="n">
        <v>15</v>
      </c>
      <c r="B18" s="5" t="inlineStr">
        <is>
          <t>ATS - Candidates</t>
        </is>
      </c>
      <c r="C18" s="6">
        <f>AVERAGE('ATS - Candidates'!C4:C8)</f>
        <v/>
      </c>
      <c r="D18" s="4">
        <f>IF(C18&gt;=1,"Finished",IF(C18&lt;=0,"Not started","In progress"))</f>
        <v/>
      </c>
    </row>
    <row r="19">
      <c r="A19" s="4" t="n">
        <v>16</v>
      </c>
      <c r="B19" s="5" t="inlineStr">
        <is>
          <t>ATS - Submissions</t>
        </is>
      </c>
      <c r="C19" s="6">
        <f>AVERAGE('ATS - Submissions'!C4:C17)</f>
        <v/>
      </c>
      <c r="D19" s="4">
        <f>IF(C19&gt;=1,"Finished",IF(C19&lt;=0,"Not started","In progress"))</f>
        <v/>
      </c>
    </row>
    <row r="20">
      <c r="A20" s="4" t="n">
        <v>17</v>
      </c>
      <c r="B20" s="5" t="inlineStr">
        <is>
          <t>ATS - CV Screening (AI)</t>
        </is>
      </c>
      <c r="C20" s="6">
        <f>AVERAGE('ATS - CV Screening (AI)'!C4:C15)</f>
        <v/>
      </c>
      <c r="D20" s="4">
        <f>IF(C20&gt;=1,"Finished",IF(C20&lt;=0,"Not started","In progress"))</f>
        <v/>
      </c>
    </row>
    <row r="21">
      <c r="A21" s="4" t="n">
        <v>18</v>
      </c>
      <c r="B21" s="5" t="inlineStr">
        <is>
          <t>ATS - Storage (S3)</t>
        </is>
      </c>
      <c r="C21" s="6">
        <f>AVERAGE('ATS - Storage (S3)'!C4:C13)</f>
        <v/>
      </c>
      <c r="D21" s="4">
        <f>IF(C21&gt;=1,"Finished",IF(C21&lt;=0,"Not started","In progress"))</f>
        <v/>
      </c>
    </row>
    <row r="22">
      <c r="A22" s="4" t="n">
        <v>19</v>
      </c>
      <c r="B22" s="5" t="inlineStr">
        <is>
          <t>Publishing Automation</t>
        </is>
      </c>
      <c r="C22" s="6">
        <f>AVERAGE('Publishing Automation'!C4:C23)</f>
        <v/>
      </c>
      <c r="D22" s="4">
        <f>IF(C22&gt;=1,"Finished",IF(C22&lt;=0,"Not started","In progress"))</f>
        <v/>
      </c>
    </row>
    <row r="23">
      <c r="A23" s="4" t="n">
        <v>20</v>
      </c>
      <c r="B23" s="5" t="inlineStr">
        <is>
          <t>Address</t>
        </is>
      </c>
      <c r="C23" s="6">
        <f>AVERAGE('Address'!C4:C9)</f>
        <v/>
      </c>
      <c r="D23" s="4">
        <f>IF(C23&gt;=1,"Finished",IF(C23&lt;=0,"Not started","In progress"))</f>
        <v/>
      </c>
    </row>
    <row r="24">
      <c r="A24" s="4" t="n">
        <v>21</v>
      </c>
      <c r="B24" s="5" t="inlineStr">
        <is>
          <t>Cron &amp; Scheduled Tasks</t>
        </is>
      </c>
      <c r="C24" s="6">
        <f>AVERAGE('Cron &amp; Scheduled Tasks'!C4:C9)</f>
        <v/>
      </c>
      <c r="D24" s="4">
        <f>IF(C24&gt;=1,"Finished",IF(C24&lt;=0,"Not started","In progress"))</f>
        <v/>
      </c>
    </row>
    <row r="25">
      <c r="A25" s="4" t="n">
        <v>22</v>
      </c>
      <c r="B25" s="5" t="inlineStr">
        <is>
          <t>Mail</t>
        </is>
      </c>
      <c r="C25" s="6">
        <f>AVERAGE('Mail'!C4:C8)</f>
        <v/>
      </c>
      <c r="D25" s="4">
        <f>IF(C25&gt;=1,"Finished",IF(C25&lt;=0,"Not started","In progress"))</f>
        <v/>
      </c>
    </row>
    <row r="26">
      <c r="A26" s="4" t="n">
        <v>23</v>
      </c>
      <c r="B26" s="5" t="inlineStr">
        <is>
          <t>Core Infrastructure</t>
        </is>
      </c>
      <c r="C26" s="6">
        <f>AVERAGE('Core Infrastructure'!C4:C23)</f>
        <v/>
      </c>
      <c r="D26" s="4">
        <f>IF(C26&gt;=1,"Finished",IF(C26&lt;=0,"Not started","In progress"))</f>
        <v/>
      </c>
    </row>
    <row r="27">
      <c r="A27" s="4" t="n">
        <v>24</v>
      </c>
      <c r="B27" s="5" t="inlineStr">
        <is>
          <t>Database &amp; Deployment</t>
        </is>
      </c>
      <c r="C27" s="6">
        <f>AVERAGE('Database &amp; Deployment'!C4:C12)</f>
        <v/>
      </c>
      <c r="D27" s="4">
        <f>IF(C27&gt;=1,"Finished",IF(C27&lt;=0,"Not started","In progress"))</f>
        <v/>
      </c>
    </row>
    <row r="29">
      <c r="A29" s="7" t="inlineStr"/>
      <c r="B29" s="7" t="inlineStr">
        <is>
          <t>Tổng tiến độ hệ thống</t>
        </is>
      </c>
      <c r="C29" s="8">
        <f>AVERAGE(C4:C27)</f>
        <v/>
      </c>
      <c r="D29" s="9">
        <f>COUNTIF(D4:D27,"Finished")&amp;"/"&amp;COUNTA(D4:D27)&amp;" modules"</f>
        <v/>
      </c>
    </row>
    <row r="31">
      <c r="B31" s="2" t="inlineStr">
        <is>
          <t>Quy ước: Progress = % hoàn thành của feature. isDone = Finished (100%) / In progress (1–99%) / Not started (0%).</t>
        </is>
      </c>
    </row>
    <row r="32">
      <c r="B32" s="2" t="inlineStr">
        <is>
          <t>Đánh giá dựa trên mã nguồn tại commit 1925c1f (branch main), ngày 18/09/2026.</t>
        </is>
      </c>
    </row>
    <row r="34" ht="26" customHeight="1">
      <c r="A34" s="1" t="inlineStr">
        <is>
          <t>Timeline triển khai theo giai đoạn</t>
        </is>
      </c>
    </row>
    <row r="35" ht="28" customHeight="1">
      <c r="A35" s="10" t="inlineStr">
        <is>
          <t>Progress của hạng mục có module liên kết = trung bình Progress các module ở bảng trên (chữ xanh lá). Hạng mục chưa có module = ô nhập tay (chữ xanh dương). Dòng phòng ban / giai đoạn tự cộng dồn từ hạng mục con.</t>
        </is>
      </c>
    </row>
    <row r="36" ht="20" customHeight="1">
      <c r="A36" s="11" t="inlineStr">
        <is>
          <t>No</t>
        </is>
      </c>
      <c r="B36" s="11" t="inlineStr">
        <is>
          <t>Hạng mục</t>
        </is>
      </c>
      <c r="C36" s="11" t="inlineStr">
        <is>
          <t>Bắt đầu</t>
        </is>
      </c>
      <c r="D36" s="11" t="inlineStr">
        <is>
          <t>Kết thúc</t>
        </is>
      </c>
      <c r="E36" s="11" t="inlineStr">
        <is>
          <t>Progress</t>
        </is>
      </c>
      <c r="F36" s="11" t="inlineStr">
        <is>
          <t>isDone</t>
        </is>
      </c>
      <c r="G36" s="11" t="inlineStr">
        <is>
          <t>Kế hoạch</t>
        </is>
      </c>
      <c r="H36" s="11" t="inlineStr">
        <is>
          <t>Lịch trình</t>
        </is>
      </c>
      <c r="I36" s="11" t="inlineStr">
        <is>
          <t>Module liên kết</t>
        </is>
      </c>
    </row>
    <row r="37" ht="18" customHeight="1">
      <c r="A37" s="12" t="inlineStr">
        <is>
          <t>0</t>
        </is>
      </c>
      <c r="B37" s="13" t="inlineStr">
        <is>
          <t>Khởi tạo Nền tảng</t>
        </is>
      </c>
      <c r="C37" s="14" t="n">
        <v>46258</v>
      </c>
      <c r="D37" s="14" t="n">
        <v>46277</v>
      </c>
      <c r="E37" s="15" t="n">
        <v>1</v>
      </c>
      <c r="F37" s="12">
        <f>IF(E37&gt;=1,"Finished",IF(E37&lt;=0,"Not started","In progress"))</f>
        <v/>
      </c>
      <c r="G37" s="15">
        <f>IF(OR(C37="",D37=""),"",MAX(0,MIN(1,(TODAY()-C37)/(D37-C37))))</f>
        <v/>
      </c>
      <c r="H37" s="12">
        <f>IF(E37&gt;=1,"Hoàn thành",IF(OR(C37="",D37=""),"",IF(TODAY()&lt;C37,"Chưa đến hạn",IF(TODAY()&gt;D37,"Trễ hạn",IF(E37&gt;=G37,"Đúng tiến độ","Chậm tiến độ")))))</f>
        <v/>
      </c>
      <c r="I37" s="13" t="inlineStr">
        <is>
          <t>Auth, Users, Roles, Permissions, System Resources, User Avatars, Notifications, Audit Log, Tickets, Mail, Cron &amp; Scheduled Tasks, Address, Core Infrastructure, Database &amp; Deployment</t>
        </is>
      </c>
    </row>
    <row r="38" ht="18" customHeight="1">
      <c r="A38" s="12" t="inlineStr">
        <is>
          <t>I.</t>
        </is>
      </c>
      <c r="B38" s="13" t="inlineStr">
        <is>
          <t>Nền tảng Tổ chức</t>
        </is>
      </c>
      <c r="C38" s="14" t="n">
        <v>46279</v>
      </c>
      <c r="D38" s="14" t="n">
        <v>46319</v>
      </c>
      <c r="E38" s="15">
        <f>AVERAGE(E39)</f>
        <v/>
      </c>
      <c r="F38" s="12">
        <f>IF(E38&gt;=1,"Finished",IF(E38&lt;=0,"Not started","In progress"))</f>
        <v/>
      </c>
      <c r="G38" s="15">
        <f>IF(OR(C38="",D38=""),"",MAX(0,MIN(1,(TODAY()-C38)/(D38-C38))))</f>
        <v/>
      </c>
      <c r="H38" s="12">
        <f>IF(E38&gt;=1,"Hoàn thành",IF(OR(C38="",D38=""),"",IF(TODAY()&lt;C38,"Chưa đến hạn",IF(TODAY()&gt;D38,"Trễ hạn",IF(E38&gt;=G38,"Đúng tiến độ","Chậm tiến độ")))))</f>
        <v/>
      </c>
      <c r="I38" s="13" t="inlineStr"/>
    </row>
    <row r="39" ht="18" customHeight="1">
      <c r="A39" s="16" t="inlineStr">
        <is>
          <t>1</t>
        </is>
      </c>
      <c r="B39" s="17" t="inlineStr">
        <is>
          <t>Phòng HCNS &amp; QLNL</t>
        </is>
      </c>
      <c r="C39" s="18" t="n">
        <v>46279</v>
      </c>
      <c r="D39" s="18" t="n">
        <v>46340</v>
      </c>
      <c r="E39" s="19">
        <f>AVERAGE(E40,E41,E42)</f>
        <v/>
      </c>
      <c r="F39" s="16">
        <f>IF(E39&gt;=1,"Finished",IF(E39&lt;=0,"Not started","In progress"))</f>
        <v/>
      </c>
      <c r="G39" s="19">
        <f>IF(OR(C39="",D39=""),"",MAX(0,MIN(1,(TODAY()-C39)/(D39-C39))))</f>
        <v/>
      </c>
      <c r="H39" s="16">
        <f>IF(E39&gt;=1,"Hoàn thành",IF(OR(C39="",D39=""),"",IF(TODAY()&lt;C39,"Chưa đến hạn",IF(TODAY()&gt;D39,"Trễ hạn",IF(E39&gt;=G39,"Đúng tiến độ","Chậm tiến độ")))))</f>
        <v/>
      </c>
      <c r="I39" s="17" t="inlineStr"/>
    </row>
    <row r="40" ht="60" customHeight="1">
      <c r="A40" s="20" t="inlineStr">
        <is>
          <t>1.1</t>
        </is>
      </c>
      <c r="B40" s="21" t="inlineStr">
        <is>
          <t>Quản lý thông tin người lao động
Nghiệp vụ: Sơ đồ tổ chức số, hồ sơ nhân sự số, hợp đồng lao động, trạng thái người lao động, phân bổ phòng ban.</t>
        </is>
      </c>
      <c r="C40" s="22" t="n">
        <v>46279</v>
      </c>
      <c r="D40" s="22" t="n">
        <v>46291</v>
      </c>
      <c r="E40" s="23">
        <f>AVERAGE(C9,C10,C11)</f>
        <v/>
      </c>
      <c r="F40" s="20">
        <f>IF(E40&gt;=1,"Finished",IF(E40&lt;=0,"Not started","In progress"))</f>
        <v/>
      </c>
      <c r="G40" s="24">
        <f>IF(OR(C40="",D40=""),"",MAX(0,MIN(1,(TODAY()-C40)/(D40-C40))))</f>
        <v/>
      </c>
      <c r="H40" s="20">
        <f>IF(E40&gt;=1,"Hoàn thành",IF(OR(C40="",D40=""),"",IF(TODAY()&lt;C40,"Chưa đến hạn",IF(TODAY()&gt;D40,"Trễ hạn",IF(E40&gt;=G40,"Đúng tiến độ","Chậm tiến độ")))))</f>
        <v/>
      </c>
      <c r="I40" s="25" t="inlineStr">
        <is>
          <t>Departments, Employee Profiles, Identity (CCCD)</t>
        </is>
      </c>
    </row>
    <row r="41" ht="45" customHeight="1">
      <c r="A41" s="20" t="inlineStr">
        <is>
          <t>1.2</t>
        </is>
      </c>
      <c r="B41" s="21" t="inlineStr">
        <is>
          <t>Quản lý thông tin ứng viên
Nghiệp vụ: Tracking trạng thái ứng viên (CV -&gt; Phỏng vấn -&gt;  Offer), lưu trữ hồ sơ, đánh giá phỏng vấn.</t>
        </is>
      </c>
      <c r="C41" s="22" t="n">
        <v>46293</v>
      </c>
      <c r="D41" s="22" t="n">
        <v>46305</v>
      </c>
      <c r="E41" s="23">
        <f>AVERAGE(C16,C17,C18,C19,C20,C21,C22)</f>
        <v/>
      </c>
      <c r="F41" s="20">
        <f>IF(E41&gt;=1,"Finished",IF(E41&lt;=0,"Not started","In progress"))</f>
        <v/>
      </c>
      <c r="G41" s="24">
        <f>IF(OR(C41="",D41=""),"",MAX(0,MIN(1,(TODAY()-C41)/(D41-C41))))</f>
        <v/>
      </c>
      <c r="H41" s="20">
        <f>IF(E41&gt;=1,"Hoàn thành",IF(OR(C41="",D41=""),"",IF(TODAY()&lt;C41,"Chưa đến hạn",IF(TODAY()&gt;D41,"Trễ hạn",IF(E41&gt;=G41,"Đúng tiến độ","Chậm tiến độ")))))</f>
        <v/>
      </c>
      <c r="I41" s="25" t="inlineStr">
        <is>
          <t>ATS - Recruitment Requests, ATS - Job Posts, ATS - Candidates, ATS - Submissions, ATS - CV Screening (AI), ATS - Storage (S3), Publishing Automation</t>
        </is>
      </c>
    </row>
    <row r="42" ht="75" customHeight="1">
      <c r="A42" s="20" t="inlineStr">
        <is>
          <t>1.3</t>
        </is>
      </c>
      <c r="B42" s="21" t="inlineStr">
        <is>
          <t>Thống kê + Tính tiền công và lương
Nghiệp vụ: Tích hợp API chấm công (GPS/Vân tay), quản lý đơn từ (nghỉ phép, OT), xuất bảng công và tự động tính lương theo công thức (chưa xuất dòng tiền - nhường phần đó cho GĐ 4).</t>
        </is>
      </c>
      <c r="C42" s="22" t="n">
        <v>46307</v>
      </c>
      <c r="D42" s="22" t="n">
        <v>46340</v>
      </c>
      <c r="E42" s="26" t="n">
        <v>0</v>
      </c>
      <c r="F42" s="20">
        <f>IF(E42&gt;=1,"Finished",IF(E42&lt;=0,"Not started","In progress"))</f>
        <v/>
      </c>
      <c r="G42" s="24">
        <f>IF(OR(C42="",D42=""),"",MAX(0,MIN(1,(TODAY()-C42)/(D42-C42))))</f>
        <v/>
      </c>
      <c r="H42" s="20">
        <f>IF(E42&gt;=1,"Hoàn thành",IF(OR(C42="",D42=""),"",IF(TODAY()&lt;C42,"Chưa đến hạn",IF(TODAY()&gt;D42,"Trễ hạn",IF(E42&gt;=G42,"Đúng tiến độ","Chậm tiến độ")))))</f>
        <v/>
      </c>
      <c r="I42" s="25" t="inlineStr"/>
    </row>
    <row r="43" ht="18" customHeight="1">
      <c r="A43" s="12" t="inlineStr">
        <is>
          <t>II.</t>
        </is>
      </c>
      <c r="B43" s="13" t="inlineStr">
        <is>
          <t>Chuỗi Cung ứng &amp; Thực địa</t>
        </is>
      </c>
      <c r="C43" s="14" t="n">
        <v>46342</v>
      </c>
      <c r="D43" s="14" t="n">
        <v>46592</v>
      </c>
      <c r="E43" s="15">
        <f>AVERAGE(E44,E48,E52,E56)</f>
        <v/>
      </c>
      <c r="F43" s="12">
        <f>IF(E43&gt;=1,"Finished",IF(E43&lt;=0,"Not started","In progress"))</f>
        <v/>
      </c>
      <c r="G43" s="15">
        <f>IF(OR(C43="",D43=""),"",MAX(0,MIN(1,(TODAY()-C43)/(D43-C43))))</f>
        <v/>
      </c>
      <c r="H43" s="12">
        <f>IF(E43&gt;=1,"Hoàn thành",IF(OR(C43="",D43=""),"",IF(TODAY()&lt;C43,"Chưa đến hạn",IF(TODAY()&gt;D43,"Trễ hạn",IF(E43&gt;=G43,"Đúng tiến độ","Chậm tiến độ")))))</f>
        <v/>
      </c>
      <c r="I43" s="13" t="inlineStr"/>
    </row>
    <row r="44" ht="18" customHeight="1">
      <c r="A44" s="16" t="inlineStr">
        <is>
          <t>2</t>
        </is>
      </c>
      <c r="B44" s="17" t="inlineStr">
        <is>
          <t>Phòng Cung ứng</t>
        </is>
      </c>
      <c r="C44" s="18" t="n">
        <v>46342</v>
      </c>
      <c r="D44" s="18" t="n">
        <v>46403</v>
      </c>
      <c r="E44" s="19">
        <f>AVERAGE(E45,E46,E47)</f>
        <v/>
      </c>
      <c r="F44" s="16">
        <f>IF(E44&gt;=1,"Finished",IF(E44&lt;=0,"Not started","In progress"))</f>
        <v/>
      </c>
      <c r="G44" s="19">
        <f>IF(OR(C44="",D44=""),"",MAX(0,MIN(1,(TODAY()-C44)/(D44-C44))))</f>
        <v/>
      </c>
      <c r="H44" s="16">
        <f>IF(E44&gt;=1,"Hoàn thành",IF(OR(C44="",D44=""),"",IF(TODAY()&lt;C44,"Chưa đến hạn",IF(TODAY()&gt;D44,"Trễ hạn",IF(E44&gt;=G44,"Đúng tiến độ","Chậm tiến độ")))))</f>
        <v/>
      </c>
      <c r="I44" s="17" t="inlineStr"/>
    </row>
    <row r="45" ht="18" customHeight="1">
      <c r="A45" s="20" t="inlineStr">
        <is>
          <t>2.1</t>
        </is>
      </c>
      <c r="B45" s="21" t="inlineStr">
        <is>
          <t>Số hóa Dữ liệu &amp; Quy trình nền tảng (Vendor, Hợp đồng nguyên tắc).</t>
        </is>
      </c>
      <c r="C45" s="22" t="n"/>
      <c r="D45" s="22" t="n"/>
      <c r="E45" s="26" t="n">
        <v>0</v>
      </c>
      <c r="F45" s="20">
        <f>IF(E45&gt;=1,"Finished",IF(E45&lt;=0,"Not started","In progress"))</f>
        <v/>
      </c>
      <c r="G45" s="24">
        <f>IF(OR(C45="",D45=""),"",MAX(0,MIN(1,(TODAY()-C45)/(D45-C45))))</f>
        <v/>
      </c>
      <c r="H45" s="20">
        <f>IF(E45&gt;=1,"Hoàn thành",IF(OR(C45="",D45=""),"",IF(TODAY()&lt;C45,"Chưa đến hạn",IF(TODAY()&gt;D45,"Trễ hạn",IF(E45&gt;=G45,"Đúng tiến độ","Chậm tiến độ")))))</f>
        <v/>
      </c>
      <c r="I45" s="25" t="inlineStr"/>
    </row>
    <row r="46" ht="30" customHeight="1">
      <c r="A46" s="20" t="inlineStr">
        <is>
          <t>2.2</t>
        </is>
      </c>
      <c r="B46" s="21" t="inlineStr">
        <is>
          <t>Phát triển Nghiệp vụ cốt lõi. Xây dựng các tính năng xử lý giao dịch chuyên sâu và luân chuyển chứng từ nội bộ.</t>
        </is>
      </c>
      <c r="C46" s="22" t="n"/>
      <c r="D46" s="22" t="n"/>
      <c r="E46" s="26" t="n">
        <v>0</v>
      </c>
      <c r="F46" s="20">
        <f>IF(E46&gt;=1,"Finished",IF(E46&lt;=0,"Not started","In progress"))</f>
        <v/>
      </c>
      <c r="G46" s="24">
        <f>IF(OR(C46="",D46=""),"",MAX(0,MIN(1,(TODAY()-C46)/(D46-C46))))</f>
        <v/>
      </c>
      <c r="H46" s="20">
        <f>IF(E46&gt;=1,"Hoàn thành",IF(OR(C46="",D46=""),"",IF(TODAY()&lt;C46,"Chưa đến hạn",IF(TODAY()&gt;D46,"Trễ hạn",IF(E46&gt;=G46,"Đúng tiến độ","Chậm tiến độ")))))</f>
        <v/>
      </c>
      <c r="I46" s="25" t="inlineStr"/>
    </row>
    <row r="47" ht="18" customHeight="1">
      <c r="A47" s="20" t="inlineStr">
        <is>
          <t>2.3</t>
        </is>
      </c>
      <c r="B47" s="21" t="inlineStr">
        <is>
          <t>Báo cáo, Tích hợp &amp; Nghiệm thu.</t>
        </is>
      </c>
      <c r="C47" s="22" t="n"/>
      <c r="D47" s="22" t="n"/>
      <c r="E47" s="26" t="n">
        <v>0</v>
      </c>
      <c r="F47" s="20">
        <f>IF(E47&gt;=1,"Finished",IF(E47&lt;=0,"Not started","In progress"))</f>
        <v/>
      </c>
      <c r="G47" s="24">
        <f>IF(OR(C47="",D47=""),"",MAX(0,MIN(1,(TODAY()-C47)/(D47-C47))))</f>
        <v/>
      </c>
      <c r="H47" s="20">
        <f>IF(E47&gt;=1,"Hoàn thành",IF(OR(C47="",D47=""),"",IF(TODAY()&lt;C47,"Chưa đến hạn",IF(TODAY()&gt;D47,"Trễ hạn",IF(E47&gt;=G47,"Đúng tiến độ","Chậm tiến độ")))))</f>
        <v/>
      </c>
      <c r="I47" s="25" t="inlineStr"/>
    </row>
    <row r="48" ht="18" customHeight="1">
      <c r="A48" s="16" t="inlineStr">
        <is>
          <t>3</t>
        </is>
      </c>
      <c r="B48" s="17" t="inlineStr">
        <is>
          <t>Phòng Vật lực</t>
        </is>
      </c>
      <c r="C48" s="18" t="n">
        <v>46405</v>
      </c>
      <c r="D48" s="18" t="n">
        <v>46466</v>
      </c>
      <c r="E48" s="19">
        <f>AVERAGE(E49,E50,E51)</f>
        <v/>
      </c>
      <c r="F48" s="16">
        <f>IF(E48&gt;=1,"Finished",IF(E48&lt;=0,"Not started","In progress"))</f>
        <v/>
      </c>
      <c r="G48" s="19">
        <f>IF(OR(C48="",D48=""),"",MAX(0,MIN(1,(TODAY()-C48)/(D48-C48))))</f>
        <v/>
      </c>
      <c r="H48" s="16">
        <f>IF(E48&gt;=1,"Hoàn thành",IF(OR(C48="",D48=""),"",IF(TODAY()&lt;C48,"Chưa đến hạn",IF(TODAY()&gt;D48,"Trễ hạn",IF(E48&gt;=G48,"Đúng tiến độ","Chậm tiến độ")))))</f>
        <v/>
      </c>
      <c r="I48" s="17" t="inlineStr"/>
    </row>
    <row r="49" ht="18" customHeight="1">
      <c r="A49" s="20" t="inlineStr">
        <is>
          <t>3.1</t>
        </is>
      </c>
      <c r="B49" s="21" t="inlineStr">
        <is>
          <t>Số hóa Dữ liệu &amp; Quy trình nền tảng.</t>
        </is>
      </c>
      <c r="C49" s="22" t="n"/>
      <c r="D49" s="22" t="n"/>
      <c r="E49" s="26" t="n">
        <v>0</v>
      </c>
      <c r="F49" s="20">
        <f>IF(E49&gt;=1,"Finished",IF(E49&lt;=0,"Not started","In progress"))</f>
        <v/>
      </c>
      <c r="G49" s="24">
        <f>IF(OR(C49="",D49=""),"",MAX(0,MIN(1,(TODAY()-C49)/(D49-C49))))</f>
        <v/>
      </c>
      <c r="H49" s="20">
        <f>IF(E49&gt;=1,"Hoàn thành",IF(OR(C49="",D49=""),"",IF(TODAY()&lt;C49,"Chưa đến hạn",IF(TODAY()&gt;D49,"Trễ hạn",IF(E49&gt;=G49,"Đúng tiến độ","Chậm tiến độ")))))</f>
        <v/>
      </c>
      <c r="I49" s="25" t="inlineStr"/>
    </row>
    <row r="50" ht="18" customHeight="1">
      <c r="A50" s="20" t="inlineStr">
        <is>
          <t>3.2</t>
        </is>
      </c>
      <c r="B50" s="21" t="inlineStr">
        <is>
          <t>Phát triển Nghiệp vụ cốt lõi (Nhập/Xuất kho).</t>
        </is>
      </c>
      <c r="C50" s="22" t="n"/>
      <c r="D50" s="22" t="n"/>
      <c r="E50" s="26" t="n">
        <v>0</v>
      </c>
      <c r="F50" s="20">
        <f>IF(E50&gt;=1,"Finished",IF(E50&lt;=0,"Not started","In progress"))</f>
        <v/>
      </c>
      <c r="G50" s="24">
        <f>IF(OR(C50="",D50=""),"",MAX(0,MIN(1,(TODAY()-C50)/(D50-C50))))</f>
        <v/>
      </c>
      <c r="H50" s="20">
        <f>IF(E50&gt;=1,"Hoàn thành",IF(OR(C50="",D50=""),"",IF(TODAY()&lt;C50,"Chưa đến hạn",IF(TODAY()&gt;D50,"Trễ hạn",IF(E50&gt;=G50,"Đúng tiến độ","Chậm tiến độ")))))</f>
        <v/>
      </c>
      <c r="I50" s="25" t="inlineStr"/>
    </row>
    <row r="51" ht="18" customHeight="1">
      <c r="A51" s="20" t="inlineStr">
        <is>
          <t>3.3</t>
        </is>
      </c>
      <c r="B51" s="21" t="inlineStr">
        <is>
          <t>Báo cáo, Tích hợp &amp; Nghiệm thu</t>
        </is>
      </c>
      <c r="C51" s="22" t="n"/>
      <c r="D51" s="22" t="n"/>
      <c r="E51" s="26" t="n">
        <v>0</v>
      </c>
      <c r="F51" s="20">
        <f>IF(E51&gt;=1,"Finished",IF(E51&lt;=0,"Not started","In progress"))</f>
        <v/>
      </c>
      <c r="G51" s="24">
        <f>IF(OR(C51="",D51=""),"",MAX(0,MIN(1,(TODAY()-C51)/(D51-C51))))</f>
        <v/>
      </c>
      <c r="H51" s="20">
        <f>IF(E51&gt;=1,"Hoàn thành",IF(OR(C51="",D51=""),"",IF(TODAY()&lt;C51,"Chưa đến hạn",IF(TODAY()&gt;D51,"Trễ hạn",IF(E51&gt;=G51,"Đúng tiến độ","Chậm tiến độ")))))</f>
        <v/>
      </c>
      <c r="I51" s="25" t="inlineStr"/>
    </row>
    <row r="52" ht="18" customHeight="1">
      <c r="A52" s="16" t="inlineStr">
        <is>
          <t>4</t>
        </is>
      </c>
      <c r="B52" s="17" t="inlineStr">
        <is>
          <t>Phòng Thi công</t>
        </is>
      </c>
      <c r="C52" s="18" t="n">
        <v>46468</v>
      </c>
      <c r="D52" s="18" t="n">
        <v>46529</v>
      </c>
      <c r="E52" s="19">
        <f>AVERAGE(E53,E54,E55)</f>
        <v/>
      </c>
      <c r="F52" s="16">
        <f>IF(E52&gt;=1,"Finished",IF(E52&lt;=0,"Not started","In progress"))</f>
        <v/>
      </c>
      <c r="G52" s="19">
        <f>IF(OR(C52="",D52=""),"",MAX(0,MIN(1,(TODAY()-C52)/(D52-C52))))</f>
        <v/>
      </c>
      <c r="H52" s="16">
        <f>IF(E52&gt;=1,"Hoàn thành",IF(OR(C52="",D52=""),"",IF(TODAY()&lt;C52,"Chưa đến hạn",IF(TODAY()&gt;D52,"Trễ hạn",IF(E52&gt;=G52,"Đúng tiến độ","Chậm tiến độ")))))</f>
        <v/>
      </c>
      <c r="I52" s="17" t="inlineStr"/>
    </row>
    <row r="53" ht="45" customHeight="1">
      <c r="A53" s="20" t="inlineStr">
        <is>
          <t>4.1</t>
        </is>
      </c>
      <c r="B53" s="21" t="inlineStr">
        <is>
          <t>Số hóa &amp; Phân quyền Kho dữ liệu nội bộ. Xây dựng không gian lưu trữ và phân quyền tra cứu File tổng hợp (Quy chế, Quy định, Quy trình, Biểu mẫu công ty) thuận tiện cho Kỹ sư.</t>
        </is>
      </c>
      <c r="C53" s="22" t="n"/>
      <c r="D53" s="22" t="n"/>
      <c r="E53" s="26" t="n">
        <v>0</v>
      </c>
      <c r="F53" s="20">
        <f>IF(E53&gt;=1,"Finished",IF(E53&lt;=0,"Not started","In progress"))</f>
        <v/>
      </c>
      <c r="G53" s="24">
        <f>IF(OR(C53="",D53=""),"",MAX(0,MIN(1,(TODAY()-C53)/(D53-C53))))</f>
        <v/>
      </c>
      <c r="H53" s="20">
        <f>IF(E53&gt;=1,"Hoàn thành",IF(OR(C53="",D53=""),"",IF(TODAY()&lt;C53,"Chưa đến hạn",IF(TODAY()&gt;D53,"Trễ hạn",IF(E53&gt;=G53,"Đúng tiến độ","Chậm tiến độ")))))</f>
        <v/>
      </c>
      <c r="I53" s="25" t="inlineStr"/>
    </row>
    <row r="54" ht="30" customHeight="1">
      <c r="A54" s="20" t="inlineStr">
        <is>
          <t>4.2</t>
        </is>
      </c>
      <c r="B54" s="21" t="inlineStr">
        <is>
          <t>Tự động hóa Hồ sơ &amp; Hợp đồng. Thiết lập luồng tạo tự động Hồ sơ thanh toán, quyết toán; Hợp đồng khoán, Hợp đồng giao việc.</t>
        </is>
      </c>
      <c r="C54" s="22" t="n"/>
      <c r="D54" s="22" t="n"/>
      <c r="E54" s="26" t="n">
        <v>0</v>
      </c>
      <c r="F54" s="20">
        <f>IF(E54&gt;=1,"Finished",IF(E54&lt;=0,"Not started","In progress"))</f>
        <v/>
      </c>
      <c r="G54" s="24">
        <f>IF(OR(C54="",D54=""),"",MAX(0,MIN(1,(TODAY()-C54)/(D54-C54))))</f>
        <v/>
      </c>
      <c r="H54" s="20">
        <f>IF(E54&gt;=1,"Hoàn thành",IF(OR(C54="",D54=""),"",IF(TODAY()&lt;C54,"Chưa đến hạn",IF(TODAY()&gt;D54,"Trễ hạn",IF(E54&gt;=G54,"Đúng tiến độ","Chậm tiến độ")))))</f>
        <v/>
      </c>
      <c r="I54" s="25" t="inlineStr"/>
    </row>
    <row r="55" ht="45" customHeight="1">
      <c r="A55" s="20" t="inlineStr">
        <is>
          <t>4.3</t>
        </is>
      </c>
      <c r="B55" s="21" t="inlineStr">
        <is>
          <t>Nhật ký công trình. Quản trị Công việc &amp; Tiến độ. Hệ thống báo cáo công việc hàng ngày, đánh giá tiến độ công trình và kiểm soát định mức tự động.</t>
        </is>
      </c>
      <c r="C55" s="22" t="n"/>
      <c r="D55" s="22" t="n"/>
      <c r="E55" s="26" t="n">
        <v>0</v>
      </c>
      <c r="F55" s="20">
        <f>IF(E55&gt;=1,"Finished",IF(E55&lt;=0,"Not started","In progress"))</f>
        <v/>
      </c>
      <c r="G55" s="24">
        <f>IF(OR(C55="",D55=""),"",MAX(0,MIN(1,(TODAY()-C55)/(D55-C55))))</f>
        <v/>
      </c>
      <c r="H55" s="20">
        <f>IF(E55&gt;=1,"Hoàn thành",IF(OR(C55="",D55=""),"",IF(TODAY()&lt;C55,"Chưa đến hạn",IF(TODAY()&gt;D55,"Trễ hạn",IF(E55&gt;=G55,"Đúng tiến độ","Chậm tiến độ")))))</f>
        <v/>
      </c>
      <c r="I55" s="25" t="inlineStr"/>
    </row>
    <row r="56" ht="18" customHeight="1">
      <c r="A56" s="16" t="inlineStr">
        <is>
          <t>5</t>
        </is>
      </c>
      <c r="B56" s="17" t="inlineStr">
        <is>
          <t>Phòng An toàn &amp; Quản lý chất lượng</t>
        </is>
      </c>
      <c r="C56" s="18" t="n">
        <v>46531</v>
      </c>
      <c r="D56" s="18" t="n">
        <v>46592</v>
      </c>
      <c r="E56" s="19">
        <f>AVERAGE(E57,E58,E59)</f>
        <v/>
      </c>
      <c r="F56" s="16">
        <f>IF(E56&gt;=1,"Finished",IF(E56&lt;=0,"Not started","In progress"))</f>
        <v/>
      </c>
      <c r="G56" s="19">
        <f>IF(OR(C56="",D56=""),"",MAX(0,MIN(1,(TODAY()-C56)/(D56-C56))))</f>
        <v/>
      </c>
      <c r="H56" s="16">
        <f>IF(E56&gt;=1,"Hoàn thành",IF(OR(C56="",D56=""),"",IF(TODAY()&lt;C56,"Chưa đến hạn",IF(TODAY()&gt;D56,"Trễ hạn",IF(E56&gt;=G56,"Đúng tiến độ","Chậm tiến độ")))))</f>
        <v/>
      </c>
      <c r="I56" s="17" t="inlineStr"/>
    </row>
    <row r="57" ht="18" customHeight="1">
      <c r="A57" s="20" t="inlineStr">
        <is>
          <t>5.1</t>
        </is>
      </c>
      <c r="B57" s="21" t="inlineStr">
        <is>
          <t>Số hóa Dữ liệu &amp; Quy trình nền tảng. (Checklist an toàn).</t>
        </is>
      </c>
      <c r="C57" s="22" t="n"/>
      <c r="D57" s="22" t="n"/>
      <c r="E57" s="26" t="n">
        <v>0</v>
      </c>
      <c r="F57" s="20">
        <f>IF(E57&gt;=1,"Finished",IF(E57&lt;=0,"Not started","In progress"))</f>
        <v/>
      </c>
      <c r="G57" s="24">
        <f>IF(OR(C57="",D57=""),"",MAX(0,MIN(1,(TODAY()-C57)/(D57-C57))))</f>
        <v/>
      </c>
      <c r="H57" s="20">
        <f>IF(E57&gt;=1,"Hoàn thành",IF(OR(C57="",D57=""),"",IF(TODAY()&lt;C57,"Chưa đến hạn",IF(TODAY()&gt;D57,"Trễ hạn",IF(E57&gt;=G57,"Đúng tiến độ","Chậm tiến độ")))))</f>
        <v/>
      </c>
      <c r="I57" s="25" t="inlineStr"/>
    </row>
    <row r="58" ht="18" customHeight="1">
      <c r="A58" s="20" t="inlineStr">
        <is>
          <t>5.2</t>
        </is>
      </c>
      <c r="B58" s="21" t="inlineStr">
        <is>
          <t>Phát triển Nghiệp vụ cốt lõi (Ghi nhận sự cố tại hiện trường).</t>
        </is>
      </c>
      <c r="C58" s="22" t="n"/>
      <c r="D58" s="22" t="n"/>
      <c r="E58" s="26" t="n">
        <v>0</v>
      </c>
      <c r="F58" s="20">
        <f>IF(E58&gt;=1,"Finished",IF(E58&lt;=0,"Not started","In progress"))</f>
        <v/>
      </c>
      <c r="G58" s="24">
        <f>IF(OR(C58="",D58=""),"",MAX(0,MIN(1,(TODAY()-C58)/(D58-C58))))</f>
        <v/>
      </c>
      <c r="H58" s="20">
        <f>IF(E58&gt;=1,"Hoàn thành",IF(OR(C58="",D58=""),"",IF(TODAY()&lt;C58,"Chưa đến hạn",IF(TODAY()&gt;D58,"Trễ hạn",IF(E58&gt;=G58,"Đúng tiến độ","Chậm tiến độ")))))</f>
        <v/>
      </c>
      <c r="I58" s="25" t="inlineStr"/>
    </row>
    <row r="59" ht="18" customHeight="1">
      <c r="A59" s="20" t="inlineStr">
        <is>
          <t>5.3</t>
        </is>
      </c>
      <c r="B59" s="21" t="inlineStr">
        <is>
          <t>Báo cáo, Tích hợp &amp; Nghiệm thu</t>
        </is>
      </c>
      <c r="C59" s="22" t="n"/>
      <c r="D59" s="22" t="n"/>
      <c r="E59" s="26" t="n">
        <v>0</v>
      </c>
      <c r="F59" s="20">
        <f>IF(E59&gt;=1,"Finished",IF(E59&lt;=0,"Not started","In progress"))</f>
        <v/>
      </c>
      <c r="G59" s="24">
        <f>IF(OR(C59="",D59=""),"",MAX(0,MIN(1,(TODAY()-C59)/(D59-C59))))</f>
        <v/>
      </c>
      <c r="H59" s="20">
        <f>IF(E59&gt;=1,"Hoàn thành",IF(OR(C59="",D59=""),"",IF(TODAY()&lt;C59,"Chưa đến hạn",IF(TODAY()&gt;D59,"Trễ hạn",IF(E59&gt;=G59,"Đúng tiến độ","Chậm tiến độ")))))</f>
        <v/>
      </c>
      <c r="I59" s="25" t="inlineStr"/>
    </row>
    <row r="60" ht="18" customHeight="1">
      <c r="A60" s="12" t="inlineStr">
        <is>
          <t>III.</t>
        </is>
      </c>
      <c r="B60" s="13" t="inlineStr">
        <is>
          <t>Dự án &amp; Khách hàng</t>
        </is>
      </c>
      <c r="C60" s="14" t="n">
        <v>46594</v>
      </c>
      <c r="D60" s="14" t="n">
        <v>46788</v>
      </c>
      <c r="E60" s="15">
        <f>AVERAGE(E61,E65,E69,E73)</f>
        <v/>
      </c>
      <c r="F60" s="12">
        <f>IF(E60&gt;=1,"Finished",IF(E60&lt;=0,"Not started","In progress"))</f>
        <v/>
      </c>
      <c r="G60" s="15">
        <f>IF(OR(C60="",D60=""),"",MAX(0,MIN(1,(TODAY()-C60)/(D60-C60))))</f>
        <v/>
      </c>
      <c r="H60" s="12">
        <f>IF(E60&gt;=1,"Hoàn thành",IF(OR(C60="",D60=""),"",IF(TODAY()&lt;C60,"Chưa đến hạn",IF(TODAY()&gt;D60,"Trễ hạn",IF(E60&gt;=G60,"Đúng tiến độ","Chậm tiến độ")))))</f>
        <v/>
      </c>
      <c r="I60" s="13" t="inlineStr"/>
    </row>
    <row r="61" ht="18" customHeight="1">
      <c r="A61" s="16" t="inlineStr">
        <is>
          <t>6</t>
        </is>
      </c>
      <c r="B61" s="17" t="inlineStr">
        <is>
          <t>Phòng Kinh doanh</t>
        </is>
      </c>
      <c r="C61" s="18" t="n">
        <v>46594</v>
      </c>
      <c r="D61" s="18" t="n">
        <v>46655</v>
      </c>
      <c r="E61" s="19">
        <f>AVERAGE(E62,E63,E64)</f>
        <v/>
      </c>
      <c r="F61" s="16">
        <f>IF(E61&gt;=1,"Finished",IF(E61&lt;=0,"Not started","In progress"))</f>
        <v/>
      </c>
      <c r="G61" s="19">
        <f>IF(OR(C61="",D61=""),"",MAX(0,MIN(1,(TODAY()-C61)/(D61-C61))))</f>
        <v/>
      </c>
      <c r="H61" s="16">
        <f>IF(E61&gt;=1,"Hoàn thành",IF(OR(C61="",D61=""),"",IF(TODAY()&lt;C61,"Chưa đến hạn",IF(TODAY()&gt;D61,"Trễ hạn",IF(E61&gt;=G61,"Đúng tiến độ","Chậm tiến độ")))))</f>
        <v/>
      </c>
      <c r="I61" s="17" t="inlineStr"/>
    </row>
    <row r="62" ht="18" customHeight="1">
      <c r="A62" s="20" t="inlineStr">
        <is>
          <t>6.1</t>
        </is>
      </c>
      <c r="B62" s="21" t="inlineStr">
        <is>
          <t>Số hóa Dữ liệu &amp; Quy trình nền tảng.</t>
        </is>
      </c>
      <c r="C62" s="22" t="n"/>
      <c r="D62" s="22" t="n"/>
      <c r="E62" s="26" t="n">
        <v>0</v>
      </c>
      <c r="F62" s="20">
        <f>IF(E62&gt;=1,"Finished",IF(E62&lt;=0,"Not started","In progress"))</f>
        <v/>
      </c>
      <c r="G62" s="24">
        <f>IF(OR(C62="",D62=""),"",MAX(0,MIN(1,(TODAY()-C62)/(D62-C62))))</f>
        <v/>
      </c>
      <c r="H62" s="20">
        <f>IF(E62&gt;=1,"Hoàn thành",IF(OR(C62="",D62=""),"",IF(TODAY()&lt;C62,"Chưa đến hạn",IF(TODAY()&gt;D62,"Trễ hạn",IF(E62&gt;=G62,"Đúng tiến độ","Chậm tiến độ")))))</f>
        <v/>
      </c>
      <c r="I62" s="25" t="inlineStr"/>
    </row>
    <row r="63" ht="18" customHeight="1">
      <c r="A63" s="20" t="inlineStr">
        <is>
          <t>6.2</t>
        </is>
      </c>
      <c r="B63" s="21" t="inlineStr">
        <is>
          <t>Phát triển Nghiệp vụ cốt lõi (CRM).</t>
        </is>
      </c>
      <c r="C63" s="22" t="n"/>
      <c r="D63" s="22" t="n"/>
      <c r="E63" s="26" t="n">
        <v>0</v>
      </c>
      <c r="F63" s="20">
        <f>IF(E63&gt;=1,"Finished",IF(E63&lt;=0,"Not started","In progress"))</f>
        <v/>
      </c>
      <c r="G63" s="24">
        <f>IF(OR(C63="",D63=""),"",MAX(0,MIN(1,(TODAY()-C63)/(D63-C63))))</f>
        <v/>
      </c>
      <c r="H63" s="20">
        <f>IF(E63&gt;=1,"Hoàn thành",IF(OR(C63="",D63=""),"",IF(TODAY()&lt;C63,"Chưa đến hạn",IF(TODAY()&gt;D63,"Trễ hạn",IF(E63&gt;=G63,"Đúng tiến độ","Chậm tiến độ")))))</f>
        <v/>
      </c>
      <c r="I63" s="25" t="inlineStr"/>
    </row>
    <row r="64" ht="18" customHeight="1">
      <c r="A64" s="20" t="inlineStr">
        <is>
          <t>6.3</t>
        </is>
      </c>
      <c r="B64" s="21" t="inlineStr">
        <is>
          <t>Báo cáo, Tích hợp &amp; Nghiệm thu.</t>
        </is>
      </c>
      <c r="C64" s="22" t="n"/>
      <c r="D64" s="22" t="n"/>
      <c r="E64" s="26" t="n">
        <v>0</v>
      </c>
      <c r="F64" s="20">
        <f>IF(E64&gt;=1,"Finished",IF(E64&lt;=0,"Not started","In progress"))</f>
        <v/>
      </c>
      <c r="G64" s="24">
        <f>IF(OR(C64="",D64=""),"",MAX(0,MIN(1,(TODAY()-C64)/(D64-C64))))</f>
        <v/>
      </c>
      <c r="H64" s="20">
        <f>IF(E64&gt;=1,"Hoàn thành",IF(OR(C64="",D64=""),"",IF(TODAY()&lt;C64,"Chưa đến hạn",IF(TODAY()&gt;D64,"Trễ hạn",IF(E64&gt;=G64,"Đúng tiến độ","Chậm tiến độ")))))</f>
        <v/>
      </c>
      <c r="I64" s="25" t="inlineStr"/>
    </row>
    <row r="65" ht="18" customHeight="1">
      <c r="A65" s="16" t="inlineStr">
        <is>
          <t>7</t>
        </is>
      </c>
      <c r="B65" s="17" t="inlineStr">
        <is>
          <t>Phòng Chăm sóc Khách hàng</t>
        </is>
      </c>
      <c r="C65" s="18" t="n">
        <v>46657</v>
      </c>
      <c r="D65" s="18" t="n">
        <v>46718</v>
      </c>
      <c r="E65" s="19">
        <f>AVERAGE(E66,E67,E68)</f>
        <v/>
      </c>
      <c r="F65" s="16">
        <f>IF(E65&gt;=1,"Finished",IF(E65&lt;=0,"Not started","In progress"))</f>
        <v/>
      </c>
      <c r="G65" s="19">
        <f>IF(OR(C65="",D65=""),"",MAX(0,MIN(1,(TODAY()-C65)/(D65-C65))))</f>
        <v/>
      </c>
      <c r="H65" s="16">
        <f>IF(E65&gt;=1,"Hoàn thành",IF(OR(C65="",D65=""),"",IF(TODAY()&lt;C65,"Chưa đến hạn",IF(TODAY()&gt;D65,"Trễ hạn",IF(E65&gt;=G65,"Đúng tiến độ","Chậm tiến độ")))))</f>
        <v/>
      </c>
      <c r="I65" s="17" t="inlineStr"/>
    </row>
    <row r="66" ht="30" customHeight="1">
      <c r="A66" s="20" t="inlineStr">
        <is>
          <t>7.1</t>
        </is>
      </c>
      <c r="B66" s="21" t="inlineStr">
        <is>
          <t>Hệ thống Tiếp nhận thông tin khách hàng, xuất Báo giá thiết kế và quản lý Database KH.</t>
        </is>
      </c>
      <c r="C66" s="22" t="n"/>
      <c r="D66" s="22" t="n"/>
      <c r="E66" s="26" t="n">
        <v>0</v>
      </c>
      <c r="F66" s="20">
        <f>IF(E66&gt;=1,"Finished",IF(E66&lt;=0,"Not started","In progress"))</f>
        <v/>
      </c>
      <c r="G66" s="24">
        <f>IF(OR(C66="",D66=""),"",MAX(0,MIN(1,(TODAY()-C66)/(D66-C66))))</f>
        <v/>
      </c>
      <c r="H66" s="20">
        <f>IF(E66&gt;=1,"Hoàn thành",IF(OR(C66="",D66=""),"",IF(TODAY()&lt;C66,"Chưa đến hạn",IF(TODAY()&gt;D66,"Trễ hạn",IF(E66&gt;=G66,"Đúng tiến độ","Chậm tiến độ")))))</f>
        <v/>
      </c>
      <c r="I66" s="25" t="inlineStr"/>
    </row>
    <row r="67" ht="18" customHeight="1">
      <c r="A67" s="20" t="inlineStr">
        <is>
          <t>7.2</t>
        </is>
      </c>
      <c r="B67" s="21" t="inlineStr">
        <is>
          <t>Hệ thống Quản lý công nợ và Quy trình chăm sóc bảo hành tự động.</t>
        </is>
      </c>
      <c r="C67" s="22" t="n"/>
      <c r="D67" s="22" t="n"/>
      <c r="E67" s="26" t="n">
        <v>0</v>
      </c>
      <c r="F67" s="20">
        <f>IF(E67&gt;=1,"Finished",IF(E67&lt;=0,"Not started","In progress"))</f>
        <v/>
      </c>
      <c r="G67" s="24">
        <f>IF(OR(C67="",D67=""),"",MAX(0,MIN(1,(TODAY()-C67)/(D67-C67))))</f>
        <v/>
      </c>
      <c r="H67" s="20">
        <f>IF(E67&gt;=1,"Hoàn thành",IF(OR(C67="",D67=""),"",IF(TODAY()&lt;C67,"Chưa đến hạn",IF(TODAY()&gt;D67,"Trễ hạn",IF(E67&gt;=G67,"Đúng tiến độ","Chậm tiến độ")))))</f>
        <v/>
      </c>
      <c r="I67" s="25" t="inlineStr"/>
    </row>
    <row r="68" ht="30" customHeight="1">
      <c r="A68" s="20" t="inlineStr">
        <is>
          <t>7.3</t>
        </is>
      </c>
      <c r="B68" s="21" t="inlineStr">
        <is>
          <t>Xây dựng Dashboard quản trị tổng thể, đánh giá hiệu suất và báo cáo CSKH.</t>
        </is>
      </c>
      <c r="C68" s="22" t="n"/>
      <c r="D68" s="22" t="n"/>
      <c r="E68" s="26" t="n">
        <v>0</v>
      </c>
      <c r="F68" s="20">
        <f>IF(E68&gt;=1,"Finished",IF(E68&lt;=0,"Not started","In progress"))</f>
        <v/>
      </c>
      <c r="G68" s="24">
        <f>IF(OR(C68="",D68=""),"",MAX(0,MIN(1,(TODAY()-C68)/(D68-C68))))</f>
        <v/>
      </c>
      <c r="H68" s="20">
        <f>IF(E68&gt;=1,"Hoàn thành",IF(OR(C68="",D68=""),"",IF(TODAY()&lt;C68,"Chưa đến hạn",IF(TODAY()&gt;D68,"Trễ hạn",IF(E68&gt;=G68,"Đúng tiến độ","Chậm tiến độ")))))</f>
        <v/>
      </c>
      <c r="I68" s="25" t="inlineStr"/>
    </row>
    <row r="69" ht="18" customHeight="1">
      <c r="A69" s="16" t="inlineStr">
        <is>
          <t>8</t>
        </is>
      </c>
      <c r="B69" s="17" t="inlineStr">
        <is>
          <t>Phòng Dự toán</t>
        </is>
      </c>
      <c r="C69" s="18" t="n">
        <v>46720</v>
      </c>
      <c r="D69" s="18" t="n">
        <v>46781</v>
      </c>
      <c r="E69" s="19">
        <f>AVERAGE(E70,E71,E72)</f>
        <v/>
      </c>
      <c r="F69" s="16">
        <f>IF(E69&gt;=1,"Finished",IF(E69&lt;=0,"Not started","In progress"))</f>
        <v/>
      </c>
      <c r="G69" s="19">
        <f>IF(OR(C69="",D69=""),"",MAX(0,MIN(1,(TODAY()-C69)/(D69-C69))))</f>
        <v/>
      </c>
      <c r="H69" s="16">
        <f>IF(E69&gt;=1,"Hoàn thành",IF(OR(C69="",D69=""),"",IF(TODAY()&lt;C69,"Chưa đến hạn",IF(TODAY()&gt;D69,"Trễ hạn",IF(E69&gt;=G69,"Đúng tiến độ","Chậm tiến độ")))))</f>
        <v/>
      </c>
      <c r="I69" s="17" t="inlineStr"/>
    </row>
    <row r="70" ht="18" customHeight="1">
      <c r="A70" s="20" t="inlineStr">
        <is>
          <t>8.1</t>
        </is>
      </c>
      <c r="B70" s="21" t="inlineStr">
        <is>
          <t>Số hóa Dữ liệu &amp; Quy trình nền tảng (Đơn giá).</t>
        </is>
      </c>
      <c r="C70" s="22" t="n"/>
      <c r="D70" s="22" t="n"/>
      <c r="E70" s="26" t="n">
        <v>0</v>
      </c>
      <c r="F70" s="20">
        <f>IF(E70&gt;=1,"Finished",IF(E70&lt;=0,"Not started","In progress"))</f>
        <v/>
      </c>
      <c r="G70" s="24">
        <f>IF(OR(C70="",D70=""),"",MAX(0,MIN(1,(TODAY()-C70)/(D70-C70))))</f>
        <v/>
      </c>
      <c r="H70" s="20">
        <f>IF(E70&gt;=1,"Hoàn thành",IF(OR(C70="",D70=""),"",IF(TODAY()&lt;C70,"Chưa đến hạn",IF(TODAY()&gt;D70,"Trễ hạn",IF(E70&gt;=G70,"Đúng tiến độ","Chậm tiến độ")))))</f>
        <v/>
      </c>
      <c r="I70" s="25" t="inlineStr"/>
    </row>
    <row r="71" ht="18" customHeight="1">
      <c r="A71" s="20" t="inlineStr">
        <is>
          <t>8.2</t>
        </is>
      </c>
      <c r="B71" s="21" t="inlineStr">
        <is>
          <t>Phát triển Nghiệp vụ cốt lõi (Dự toán).</t>
        </is>
      </c>
      <c r="C71" s="22" t="n"/>
      <c r="D71" s="22" t="n"/>
      <c r="E71" s="26" t="n">
        <v>0</v>
      </c>
      <c r="F71" s="20">
        <f>IF(E71&gt;=1,"Finished",IF(E71&lt;=0,"Not started","In progress"))</f>
        <v/>
      </c>
      <c r="G71" s="24">
        <f>IF(OR(C71="",D71=""),"",MAX(0,MIN(1,(TODAY()-C71)/(D71-C71))))</f>
        <v/>
      </c>
      <c r="H71" s="20">
        <f>IF(E71&gt;=1,"Hoàn thành",IF(OR(C71="",D71=""),"",IF(TODAY()&lt;C71,"Chưa đến hạn",IF(TODAY()&gt;D71,"Trễ hạn",IF(E71&gt;=G71,"Đúng tiến độ","Chậm tiến độ")))))</f>
        <v/>
      </c>
      <c r="I71" s="25" t="inlineStr"/>
    </row>
    <row r="72" ht="18" customHeight="1">
      <c r="A72" s="20" t="inlineStr">
        <is>
          <t>8.3</t>
        </is>
      </c>
      <c r="B72" s="21" t="inlineStr">
        <is>
          <t>Báo cáo, Tích hợp &amp; Nghiệm thu</t>
        </is>
      </c>
      <c r="C72" s="22" t="n"/>
      <c r="D72" s="22" t="n"/>
      <c r="E72" s="26" t="n">
        <v>0</v>
      </c>
      <c r="F72" s="20">
        <f>IF(E72&gt;=1,"Finished",IF(E72&lt;=0,"Not started","In progress"))</f>
        <v/>
      </c>
      <c r="G72" s="24">
        <f>IF(OR(C72="",D72=""),"",MAX(0,MIN(1,(TODAY()-C72)/(D72-C72))))</f>
        <v/>
      </c>
      <c r="H72" s="20">
        <f>IF(E72&gt;=1,"Hoàn thành",IF(OR(C72="",D72=""),"",IF(TODAY()&lt;C72,"Chưa đến hạn",IF(TODAY()&gt;D72,"Trễ hạn",IF(E72&gt;=G72,"Đúng tiến độ","Chậm tiến độ")))))</f>
        <v/>
      </c>
      <c r="I72" s="25" t="inlineStr"/>
    </row>
    <row r="73" ht="18" customHeight="1">
      <c r="A73" s="16" t="inlineStr">
        <is>
          <t>9</t>
        </is>
      </c>
      <c r="B73" s="17" t="inlineStr">
        <is>
          <t>Khối Thiết kế</t>
        </is>
      </c>
      <c r="C73" s="18" t="n">
        <v>46783</v>
      </c>
      <c r="D73" s="18" t="n">
        <v>46844</v>
      </c>
      <c r="E73" s="19">
        <f>AVERAGE(E74,E75,E76)</f>
        <v/>
      </c>
      <c r="F73" s="16">
        <f>IF(E73&gt;=1,"Finished",IF(E73&lt;=0,"Not started","In progress"))</f>
        <v/>
      </c>
      <c r="G73" s="19">
        <f>IF(OR(C73="",D73=""),"",MAX(0,MIN(1,(TODAY()-C73)/(D73-C73))))</f>
        <v/>
      </c>
      <c r="H73" s="16">
        <f>IF(E73&gt;=1,"Hoàn thành",IF(OR(C73="",D73=""),"",IF(TODAY()&lt;C73,"Chưa đến hạn",IF(TODAY()&gt;D73,"Trễ hạn",IF(E73&gt;=G73,"Đúng tiến độ","Chậm tiến độ")))))</f>
        <v/>
      </c>
      <c r="I73" s="17" t="inlineStr"/>
    </row>
    <row r="74" ht="30" customHeight="1">
      <c r="A74" s="20" t="inlineStr">
        <is>
          <t>9.1</t>
        </is>
      </c>
      <c r="B74" s="21" t="inlineStr">
        <is>
          <t>Đồng bộ AI Render. Tích hợp công cụ hỗ trợ render nhanh chóng, giữ đồng bộ style hình ảnh.</t>
        </is>
      </c>
      <c r="C74" s="22" t="n"/>
      <c r="D74" s="22" t="n"/>
      <c r="E74" s="26" t="n">
        <v>0</v>
      </c>
      <c r="F74" s="20">
        <f>IF(E74&gt;=1,"Finished",IF(E74&lt;=0,"Not started","In progress"))</f>
        <v/>
      </c>
      <c r="G74" s="24">
        <f>IF(OR(C74="",D74=""),"",MAX(0,MIN(1,(TODAY()-C74)/(D74-C74))))</f>
        <v/>
      </c>
      <c r="H74" s="20">
        <f>IF(E74&gt;=1,"Hoàn thành",IF(OR(C74="",D74=""),"",IF(TODAY()&lt;C74,"Chưa đến hạn",IF(TODAY()&gt;D74,"Trễ hạn",IF(E74&gt;=G74,"Đúng tiến độ","Chậm tiến độ")))))</f>
        <v/>
      </c>
      <c r="I74" s="25" t="inlineStr"/>
    </row>
    <row r="75" ht="30" customHeight="1">
      <c r="A75" s="20" t="inlineStr">
        <is>
          <t>9.2</t>
        </is>
      </c>
      <c r="B75" s="21" t="inlineStr">
        <is>
          <t>AI Nhập liệu &amp; Lên tiến độ. Bộ công cụ nhập liệu tự động lên bảng tiến độ công việc, gán người thực hiện và nhắc tiến độ tự động.</t>
        </is>
      </c>
      <c r="C75" s="22" t="n"/>
      <c r="D75" s="22" t="n"/>
      <c r="E75" s="26" t="n">
        <v>0</v>
      </c>
      <c r="F75" s="20">
        <f>IF(E75&gt;=1,"Finished",IF(E75&lt;=0,"Not started","In progress"))</f>
        <v/>
      </c>
      <c r="G75" s="24">
        <f>IF(OR(C75="",D75=""),"",MAX(0,MIN(1,(TODAY()-C75)/(D75-C75))))</f>
        <v/>
      </c>
      <c r="H75" s="20">
        <f>IF(E75&gt;=1,"Hoàn thành",IF(OR(C75="",D75=""),"",IF(TODAY()&lt;C75,"Chưa đến hạn",IF(TODAY()&gt;D75,"Trễ hạn",IF(E75&gt;=G75,"Đúng tiến độ","Chậm tiến độ")))))</f>
        <v/>
      </c>
      <c r="I75" s="25" t="inlineStr"/>
    </row>
    <row r="76" ht="30" customHeight="1">
      <c r="A76" s="20" t="inlineStr">
        <is>
          <t>9.3</t>
        </is>
      </c>
      <c r="B76" s="21" t="inlineStr">
        <is>
          <t>Quản trị Tiến độ tổng thể. Hệ thống tự động đổ dữ liệu về báo cáo chi tiết theo ngày, giúp theo dõi và thao tác kiểm soát nhanh chóng.</t>
        </is>
      </c>
      <c r="C76" s="22" t="n"/>
      <c r="D76" s="22" t="n"/>
      <c r="E76" s="26" t="n">
        <v>0</v>
      </c>
      <c r="F76" s="20">
        <f>IF(E76&gt;=1,"Finished",IF(E76&lt;=0,"Not started","In progress"))</f>
        <v/>
      </c>
      <c r="G76" s="24">
        <f>IF(OR(C76="",D76=""),"",MAX(0,MIN(1,(TODAY()-C76)/(D76-C76))))</f>
        <v/>
      </c>
      <c r="H76" s="20">
        <f>IF(E76&gt;=1,"Hoàn thành",IF(OR(C76="",D76=""),"",IF(TODAY()&lt;C76,"Chưa đến hạn",IF(TODAY()&gt;D76,"Trễ hạn",IF(E76&gt;=G76,"Đúng tiến độ","Chậm tiến độ")))))</f>
        <v/>
      </c>
      <c r="I76" s="25" t="inlineStr"/>
    </row>
    <row r="77" ht="18" customHeight="1">
      <c r="A77" s="12" t="inlineStr">
        <is>
          <t>IV.</t>
        </is>
      </c>
      <c r="B77" s="13" t="inlineStr">
        <is>
          <t>Tài chính</t>
        </is>
      </c>
      <c r="C77" s="14" t="n">
        <v>46846</v>
      </c>
      <c r="D77" s="14" t="n">
        <v>46907</v>
      </c>
      <c r="E77" s="15">
        <f>AVERAGE(E78)</f>
        <v/>
      </c>
      <c r="F77" s="12">
        <f>IF(E77&gt;=1,"Finished",IF(E77&lt;=0,"Not started","In progress"))</f>
        <v/>
      </c>
      <c r="G77" s="15">
        <f>IF(OR(C77="",D77=""),"",MAX(0,MIN(1,(TODAY()-C77)/(D77-C77))))</f>
        <v/>
      </c>
      <c r="H77" s="12">
        <f>IF(E77&gt;=1,"Hoàn thành",IF(OR(C77="",D77=""),"",IF(TODAY()&lt;C77,"Chưa đến hạn",IF(TODAY()&gt;D77,"Trễ hạn",IF(E77&gt;=G77,"Đúng tiến độ","Chậm tiến độ")))))</f>
        <v/>
      </c>
      <c r="I77" s="13" t="inlineStr"/>
    </row>
    <row r="78" ht="18" customHeight="1">
      <c r="A78" s="16" t="inlineStr">
        <is>
          <t>10</t>
        </is>
      </c>
      <c r="B78" s="17" t="inlineStr">
        <is>
          <t>Phòng Tài chính &amp; Kế toán</t>
        </is>
      </c>
      <c r="C78" s="18" t="n">
        <v>46846</v>
      </c>
      <c r="D78" s="18" t="n">
        <v>46907</v>
      </c>
      <c r="E78" s="19">
        <f>AVERAGE(E79,E80,E81)</f>
        <v/>
      </c>
      <c r="F78" s="16">
        <f>IF(E78&gt;=1,"Finished",IF(E78&lt;=0,"Not started","In progress"))</f>
        <v/>
      </c>
      <c r="G78" s="19">
        <f>IF(OR(C78="",D78=""),"",MAX(0,MIN(1,(TODAY()-C78)/(D78-C78))))</f>
        <v/>
      </c>
      <c r="H78" s="16">
        <f>IF(E78&gt;=1,"Hoàn thành",IF(OR(C78="",D78=""),"",IF(TODAY()&lt;C78,"Chưa đến hạn",IF(TODAY()&gt;D78,"Trễ hạn",IF(E78&gt;=G78,"Đúng tiến độ","Chậm tiến độ")))))</f>
        <v/>
      </c>
      <c r="I78" s="17" t="inlineStr"/>
    </row>
    <row r="79" ht="18" customHeight="1">
      <c r="A79" s="20" t="inlineStr">
        <is>
          <t>10.1</t>
        </is>
      </c>
      <c r="B79" s="21" t="inlineStr">
        <is>
          <t>Báo cáo thuế thu nhập cá nhân</t>
        </is>
      </c>
      <c r="C79" s="22" t="n"/>
      <c r="D79" s="22" t="n"/>
      <c r="E79" s="26" t="n">
        <v>0</v>
      </c>
      <c r="F79" s="20">
        <f>IF(E79&gt;=1,"Finished",IF(E79&lt;=0,"Not started","In progress"))</f>
        <v/>
      </c>
      <c r="G79" s="24">
        <f>IF(OR(C79="",D79=""),"",MAX(0,MIN(1,(TODAY()-C79)/(D79-C79))))</f>
        <v/>
      </c>
      <c r="H79" s="20">
        <f>IF(E79&gt;=1,"Hoàn thành",IF(OR(C79="",D79=""),"",IF(TODAY()&lt;C79,"Chưa đến hạn",IF(TODAY()&gt;D79,"Trễ hạn",IF(E79&gt;=G79,"Đúng tiến độ","Chậm tiến độ")))))</f>
        <v/>
      </c>
      <c r="I79" s="25" t="inlineStr"/>
    </row>
    <row r="80" ht="18" customHeight="1">
      <c r="A80" s="20" t="inlineStr">
        <is>
          <t>10.2</t>
        </is>
      </c>
      <c r="B80" s="21" t="inlineStr">
        <is>
          <t>Công tác báo cáo</t>
        </is>
      </c>
      <c r="C80" s="22" t="n"/>
      <c r="D80" s="22" t="n"/>
      <c r="E80" s="26" t="n">
        <v>0</v>
      </c>
      <c r="F80" s="20">
        <f>IF(E80&gt;=1,"Finished",IF(E80&lt;=0,"Not started","In progress"))</f>
        <v/>
      </c>
      <c r="G80" s="24">
        <f>IF(OR(C80="",D80=""),"",MAX(0,MIN(1,(TODAY()-C80)/(D80-C80))))</f>
        <v/>
      </c>
      <c r="H80" s="20">
        <f>IF(E80&gt;=1,"Hoàn thành",IF(OR(C80="",D80=""),"",IF(TODAY()&lt;C80,"Chưa đến hạn",IF(TODAY()&gt;D80,"Trễ hạn",IF(E80&gt;=G80,"Đúng tiến độ","Chậm tiến độ")))))</f>
        <v/>
      </c>
      <c r="I80" s="25" t="inlineStr"/>
    </row>
    <row r="81" ht="18" customHeight="1">
      <c r="A81" s="20" t="inlineStr">
        <is>
          <t>10.3</t>
        </is>
      </c>
      <c r="B81" s="21" t="inlineStr">
        <is>
          <t>Các biểu mẫu công việc</t>
        </is>
      </c>
      <c r="C81" s="22" t="n"/>
      <c r="D81" s="22" t="n"/>
      <c r="E81" s="26" t="n">
        <v>0</v>
      </c>
      <c r="F81" s="20">
        <f>IF(E81&gt;=1,"Finished",IF(E81&lt;=0,"Not started","In progress"))</f>
        <v/>
      </c>
      <c r="G81" s="24">
        <f>IF(OR(C81="",D81=""),"",MAX(0,MIN(1,(TODAY()-C81)/(D81-C81))))</f>
        <v/>
      </c>
      <c r="H81" s="20">
        <f>IF(E81&gt;=1,"Hoàn thành",IF(OR(C81="",D81=""),"",IF(TODAY()&lt;C81,"Chưa đến hạn",IF(TODAY()&gt;D81,"Trễ hạn",IF(E81&gt;=G81,"Đúng tiến độ","Chậm tiến độ")))))</f>
        <v/>
      </c>
      <c r="I81" s="25" t="inlineStr"/>
    </row>
    <row r="82" ht="18" customHeight="1">
      <c r="A82" s="12" t="inlineStr">
        <is>
          <t>V.</t>
        </is>
      </c>
      <c r="B82" s="13" t="inlineStr">
        <is>
          <t>Truyền thông</t>
        </is>
      </c>
      <c r="C82" s="14" t="n">
        <v>46909</v>
      </c>
      <c r="D82" s="14" t="n">
        <v>46970</v>
      </c>
      <c r="E82" s="15">
        <f>AVERAGE(E83)</f>
        <v/>
      </c>
      <c r="F82" s="12">
        <f>IF(E82&gt;=1,"Finished",IF(E82&lt;=0,"Not started","In progress"))</f>
        <v/>
      </c>
      <c r="G82" s="15">
        <f>IF(OR(C82="",D82=""),"",MAX(0,MIN(1,(TODAY()-C82)/(D82-C82))))</f>
        <v/>
      </c>
      <c r="H82" s="12">
        <f>IF(E82&gt;=1,"Hoàn thành",IF(OR(C82="",D82=""),"",IF(TODAY()&lt;C82,"Chưa đến hạn",IF(TODAY()&gt;D82,"Trễ hạn",IF(E82&gt;=G82,"Đúng tiến độ","Chậm tiến độ")))))</f>
        <v/>
      </c>
      <c r="I82" s="13" t="inlineStr"/>
    </row>
    <row r="83" ht="18" customHeight="1">
      <c r="A83" s="16" t="inlineStr">
        <is>
          <t>11</t>
        </is>
      </c>
      <c r="B83" s="17" t="inlineStr">
        <is>
          <t>Trung tâm Truyền thông</t>
        </is>
      </c>
      <c r="C83" s="18" t="n">
        <v>46909</v>
      </c>
      <c r="D83" s="18" t="n">
        <v>46970</v>
      </c>
      <c r="E83" s="19">
        <f>AVERAGE(E84,E85,E86)</f>
        <v/>
      </c>
      <c r="F83" s="16">
        <f>IF(E83&gt;=1,"Finished",IF(E83&lt;=0,"Not started","In progress"))</f>
        <v/>
      </c>
      <c r="G83" s="19">
        <f>IF(OR(C83="",D83=""),"",MAX(0,MIN(1,(TODAY()-C83)/(D83-C83))))</f>
        <v/>
      </c>
      <c r="H83" s="16">
        <f>IF(E83&gt;=1,"Hoàn thành",IF(OR(C83="",D83=""),"",IF(TODAY()&lt;C83,"Chưa đến hạn",IF(TODAY()&gt;D83,"Trễ hạn",IF(E83&gt;=G83,"Đúng tiến độ","Chậm tiến độ")))))</f>
        <v/>
      </c>
      <c r="I83" s="17" t="inlineStr"/>
    </row>
    <row r="84" ht="18" customHeight="1">
      <c r="A84" s="20" t="inlineStr">
        <is>
          <t>11.1</t>
        </is>
      </c>
      <c r="B84" s="21" t="inlineStr">
        <is>
          <t>Số hóa và chuẩn hóa nguồn dữ liệu kịch bản (Content Script) đầu vào.</t>
        </is>
      </c>
      <c r="C84" s="22" t="n"/>
      <c r="D84" s="22" t="n"/>
      <c r="E84" s="26" t="n">
        <v>0</v>
      </c>
      <c r="F84" s="20">
        <f>IF(E84&gt;=1,"Finished",IF(E84&lt;=0,"Not started","In progress"))</f>
        <v/>
      </c>
      <c r="G84" s="24">
        <f>IF(OR(C84="",D84=""),"",MAX(0,MIN(1,(TODAY()-C84)/(D84-C84))))</f>
        <v/>
      </c>
      <c r="H84" s="20">
        <f>IF(E84&gt;=1,"Hoàn thành",IF(OR(C84="",D84=""),"",IF(TODAY()&lt;C84,"Chưa đến hạn",IF(TODAY()&gt;D84,"Trễ hạn",IF(E84&gt;=G84,"Đúng tiến độ","Chậm tiến độ")))))</f>
        <v/>
      </c>
      <c r="I84" s="25" t="inlineStr"/>
    </row>
    <row r="85" ht="30" customHeight="1">
      <c r="A85" s="20" t="inlineStr">
        <is>
          <t>11.2</t>
        </is>
      </c>
      <c r="B85" s="21" t="inlineStr">
        <is>
          <t>AI Tạo Video Tự động. Tích hợp hệ thống AI tự động tạo video cho kênh "Lãnh đạo thịnh vượng" từ dữ liệu kịch bản đã cung cấp.</t>
        </is>
      </c>
      <c r="C85" s="22" t="n"/>
      <c r="D85" s="22" t="n"/>
      <c r="E85" s="26" t="n">
        <v>0</v>
      </c>
      <c r="F85" s="20">
        <f>IF(E85&gt;=1,"Finished",IF(E85&lt;=0,"Not started","In progress"))</f>
        <v/>
      </c>
      <c r="G85" s="24">
        <f>IF(OR(C85="",D85=""),"",MAX(0,MIN(1,(TODAY()-C85)/(D85-C85))))</f>
        <v/>
      </c>
      <c r="H85" s="20">
        <f>IF(E85&gt;=1,"Hoàn thành",IF(OR(C85="",D85=""),"",IF(TODAY()&lt;C85,"Chưa đến hạn",IF(TODAY()&gt;D85,"Trễ hạn",IF(E85&gt;=G85,"Đúng tiến độ","Chậm tiến độ")))))</f>
        <v/>
      </c>
      <c r="I85" s="25" t="inlineStr"/>
    </row>
    <row r="86" ht="30" customHeight="1">
      <c r="A86" s="20" t="inlineStr">
        <is>
          <t>11.3</t>
        </is>
      </c>
      <c r="B86" s="21" t="inlineStr">
        <is>
          <t>Quản trị Kênh &amp; Báo cáo. Hệ thống lưu trữ, thống kê số lượng video xuất bản và đánh giá hiệu suất công việc.</t>
        </is>
      </c>
      <c r="C86" s="22" t="n"/>
      <c r="D86" s="22" t="n"/>
      <c r="E86" s="26" t="n">
        <v>0</v>
      </c>
      <c r="F86" s="20">
        <f>IF(E86&gt;=1,"Finished",IF(E86&lt;=0,"Not started","In progress"))</f>
        <v/>
      </c>
      <c r="G86" s="24">
        <f>IF(OR(C86="",D86=""),"",MAX(0,MIN(1,(TODAY()-C86)/(D86-C86))))</f>
        <v/>
      </c>
      <c r="H86" s="20">
        <f>IF(E86&gt;=1,"Hoàn thành",IF(OR(C86="",D86=""),"",IF(TODAY()&lt;C86,"Chưa đến hạn",IF(TODAY()&gt;D86,"Trễ hạn",IF(E86&gt;=G86,"Đúng tiến độ","Chậm tiến độ")))))</f>
        <v/>
      </c>
      <c r="I86" s="25" t="inlineStr"/>
    </row>
    <row r="88" ht="30" customHeight="1">
      <c r="A88" s="7" t="n"/>
      <c r="B88" s="27" t="inlineStr">
        <is>
          <t>Tổng tiến độ dự án (trọng số theo thời lượng giai đoạn)</t>
        </is>
      </c>
      <c r="C88" s="28">
        <f>MIN(C37,C38,C43,C60,C77,C82)</f>
        <v/>
      </c>
      <c r="D88" s="28">
        <f>MAX(D37,D38,D43,D60,D77,D82)</f>
        <v/>
      </c>
      <c r="E88" s="8">
        <f>(E37*(D37-C37)+E38*(D38-C38)+E43*(D43-C43)+E60*(D60-C60)+E77*(D77-C77)+E82*(D82-C82))/((D37-C37)+(D38-C38)+(D43-C43)+(D60-C60)+(D77-C77)+(D82-C82))</f>
        <v/>
      </c>
      <c r="F88" s="9">
        <f>IF(E88&gt;=1,"Finished",IF(E88&lt;=0,"Not started","In progress"))</f>
        <v/>
      </c>
      <c r="G88" s="8">
        <f>MAX(0,MIN(1,(TODAY()-C88)/(D88-C88)))</f>
        <v/>
      </c>
      <c r="H88" s="9">
        <f>IF(E88&gt;=1,"Hoàn thành",IF(TODAY()&lt;C88,"Chưa đến hạn",IF(TODAY()&gt;D88,"Trễ hạn",IF(E88&gt;=G88,"Đúng tiến độ","Chậm tiến độ"))))</f>
        <v/>
      </c>
      <c r="I88" s="7" t="n"/>
    </row>
    <row r="90" ht="30" customHeight="1">
      <c r="B90" s="10" t="inlineStr">
        <is>
          <t>Kế hoạch = % thời gian đã trôi qua của hạng mục tính đến hôm nay. Lịch trình so sánh Progress với Kế hoạch: Đúng tiến độ nếu Progress ≥ Kế hoạch, Chậm tiến độ nếu thấp hơn, Trễ hạn nếu đã qua ngày kết thúc mà chưa xong.</t>
        </is>
      </c>
    </row>
  </sheetData>
  <mergeCells count="5">
    <mergeCell ref="A1:D1"/>
    <mergeCell ref="B90:I90"/>
    <mergeCell ref="A2:D2"/>
    <mergeCell ref="A34:I34"/>
    <mergeCell ref="A35:I35"/>
  </mergeCells>
  <conditionalFormatting sqref="D4:D27">
    <cfRule type="cellIs" priority="1" operator="equal" dxfId="0">
      <formula>"Finished"</formula>
    </cfRule>
    <cfRule type="cellIs" priority="2" operator="equal" dxfId="1">
      <formula>"In progress"</formula>
    </cfRule>
    <cfRule type="cellIs" priority="3" operator="equal" dxfId="2">
      <formula>"Not started"</formula>
    </cfRule>
  </conditionalFormatting>
  <conditionalFormatting sqref="F37:F88">
    <cfRule type="cellIs" priority="4" operator="equal" dxfId="0">
      <formula>"Finished"</formula>
    </cfRule>
    <cfRule type="cellIs" priority="5" operator="equal" dxfId="1">
      <formula>"In progress"</formula>
    </cfRule>
    <cfRule type="cellIs" priority="6" operator="equal" dxfId="2">
      <formula>"Not started"</formula>
    </cfRule>
  </conditionalFormatting>
  <conditionalFormatting sqref="H37:H88">
    <cfRule type="cellIs" priority="7" operator="equal" dxfId="0">
      <formula>"Hoàn thành"</formula>
    </cfRule>
    <cfRule type="cellIs" priority="8" operator="equal" dxfId="0">
      <formula>"Đúng tiến độ"</formula>
    </cfRule>
    <cfRule type="cellIs" priority="9" operator="equal" dxfId="1">
      <formula>"Chậm tiến độ"</formula>
    </cfRule>
    <cfRule type="cellIs" priority="10" operator="equal" dxfId="2">
      <formula>"Trễ hạn"</formula>
    </cfRule>
  </conditionalFormatting>
  <dataValidations count="1">
    <dataValidation sqref="E42 E45 E46 E47 E49 E50 E51 E53 E54 E55 E57 E58 E59 E62 E63 E64 E66 E67 E68 E70 E71 E72 E74 E75 E76 E79 E80 E81 E84 E85 E86" showDropDown="0" showInputMessage="0" showErrorMessage="0" allowBlank="0" error="Progress phai nam trong khoang 0% - 100%." type="decimal" operator="between">
      <formula1>0</formula1>
      <formula2>1</formula2>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D34"/>
  <sheetViews>
    <sheetView workbookViewId="0">
      <pane ySplit="3" topLeftCell="A4" activePane="bottomLeft" state="frozen"/>
      <selection pane="bottomLeft" activeCell="A1" sqref="A1"/>
    </sheetView>
  </sheetViews>
  <sheetFormatPr baseColWidth="8" defaultRowHeight="15"/>
  <cols>
    <col width="6" customWidth="1" min="1" max="1"/>
    <col width="62" customWidth="1" min="2" max="2"/>
    <col width="12" customWidth="1" min="3" max="3"/>
    <col width="15" customWidth="1" min="4" max="4"/>
  </cols>
  <sheetData>
    <row r="1" ht="26" customHeight="1">
      <c r="A1" s="1" t="inlineStr">
        <is>
          <t>Auth</t>
        </is>
      </c>
    </row>
    <row r="2">
      <c r="A2" s="2" t="inlineStr">
        <is>
          <t>Nguồn: src/auth</t>
        </is>
      </c>
    </row>
    <row r="3" ht="20" customHeight="1">
      <c r="A3" s="3" t="inlineStr">
        <is>
          <t>No</t>
        </is>
      </c>
      <c r="B3" s="3" t="inlineStr">
        <is>
          <t>Feature Name</t>
        </is>
      </c>
      <c r="C3" s="3" t="inlineStr">
        <is>
          <t>Progress</t>
        </is>
      </c>
      <c r="D3" s="3" t="inlineStr">
        <is>
          <t>isDone</t>
        </is>
      </c>
    </row>
    <row r="4">
      <c r="A4" s="4" t="n">
        <v>1</v>
      </c>
      <c r="B4" s="29" t="inlineStr">
        <is>
          <t>Đăng ký tài khoản (email + mật khẩu)</t>
        </is>
      </c>
      <c r="C4" s="6" t="n">
        <v>1</v>
      </c>
      <c r="D4" s="4">
        <f>IF(C4&gt;=1,"Finished",IF(C4&lt;=0,"Not started","In progress"))</f>
        <v/>
      </c>
    </row>
    <row r="5">
      <c r="A5" s="4" t="n">
        <v>2</v>
      </c>
      <c r="B5" s="29" t="inlineStr">
        <is>
          <t>Đăng nhập cấp JWT access + refresh token</t>
        </is>
      </c>
      <c r="C5" s="6" t="n">
        <v>1</v>
      </c>
      <c r="D5" s="4">
        <f>IF(C5&gt;=1,"Finished",IF(C5&lt;=0,"Not started","In progress"))</f>
        <v/>
      </c>
    </row>
    <row r="6">
      <c r="A6" s="4" t="n">
        <v>3</v>
      </c>
      <c r="B6" s="29" t="inlineStr">
        <is>
          <t>Đăng nhập Google OAuth</t>
        </is>
      </c>
      <c r="C6" s="6" t="n">
        <v>1</v>
      </c>
      <c r="D6" s="4">
        <f>IF(C6&gt;=1,"Finished",IF(C6&lt;=0,"Not started","In progress"))</f>
        <v/>
      </c>
    </row>
    <row r="7">
      <c r="A7" s="4" t="n">
        <v>4</v>
      </c>
      <c r="B7" s="29" t="inlineStr">
        <is>
          <t>Làm mới access token (refresh)</t>
        </is>
      </c>
      <c r="C7" s="6" t="n">
        <v>1</v>
      </c>
      <c r="D7" s="4">
        <f>IF(C7&gt;=1,"Finished",IF(C7&lt;=0,"Not started","In progress"))</f>
        <v/>
      </c>
    </row>
    <row r="8">
      <c r="A8" s="4" t="n">
        <v>5</v>
      </c>
      <c r="B8" s="29" t="inlineStr">
        <is>
          <t>Đăng xuất phiên hiện tại</t>
        </is>
      </c>
      <c r="C8" s="6" t="n">
        <v>1</v>
      </c>
      <c r="D8" s="4">
        <f>IF(C8&gt;=1,"Finished",IF(C8&lt;=0,"Not started","In progress"))</f>
        <v/>
      </c>
    </row>
    <row r="9">
      <c r="A9" s="4" t="n">
        <v>6</v>
      </c>
      <c r="B9" s="29" t="inlineStr">
        <is>
          <t>Lấy hồ sơ người dùng hiện tại (/auth/me)</t>
        </is>
      </c>
      <c r="C9" s="6" t="n">
        <v>1</v>
      </c>
      <c r="D9" s="4">
        <f>IF(C9&gt;=1,"Finished",IF(C9&lt;=0,"Not started","In progress"))</f>
        <v/>
      </c>
    </row>
    <row r="10">
      <c r="A10" s="4" t="n">
        <v>7</v>
      </c>
      <c r="B10" s="29" t="inlineStr">
        <is>
          <t>Quên mật khẩu - gửi OTP qua email</t>
        </is>
      </c>
      <c r="C10" s="6" t="n">
        <v>1</v>
      </c>
      <c r="D10" s="4">
        <f>IF(C10&gt;=1,"Finished",IF(C10&lt;=0,"Not started","In progress"))</f>
        <v/>
      </c>
    </row>
    <row r="11">
      <c r="A11" s="4" t="n">
        <v>8</v>
      </c>
      <c r="B11" s="30" t="inlineStr">
        <is>
          <t>Quên mật khẩu - gửi OTP qua Zalo ZNS</t>
        </is>
      </c>
      <c r="C11" s="31" t="n">
        <v>0.6</v>
      </c>
      <c r="D11" s="4">
        <f>IF(C11&gt;=1,"Finished",IF(C11&lt;=0,"Not started","In progress"))</f>
        <v/>
      </c>
    </row>
    <row r="12">
      <c r="A12" s="4" t="n">
        <v>9</v>
      </c>
      <c r="B12" s="29" t="inlineStr">
        <is>
          <t>Đặt lại mật khẩu bằng OTP</t>
        </is>
      </c>
      <c r="C12" s="6" t="n">
        <v>1</v>
      </c>
      <c r="D12" s="4">
        <f>IF(C12&gt;=1,"Finished",IF(C12&lt;=0,"Not started","In progress"))</f>
        <v/>
      </c>
    </row>
    <row r="13">
      <c r="A13" s="4" t="n">
        <v>10</v>
      </c>
      <c r="B13" s="29" t="inlineStr">
        <is>
          <t>Đổi mật khẩu (đã đăng nhập)</t>
        </is>
      </c>
      <c r="C13" s="6" t="n">
        <v>1</v>
      </c>
      <c r="D13" s="4">
        <f>IF(C13&gt;=1,"Finished",IF(C13&lt;=0,"Not started","In progress"))</f>
        <v/>
      </c>
    </row>
    <row r="14">
      <c r="A14" s="4" t="n">
        <v>11</v>
      </c>
      <c r="B14" s="29" t="inlineStr">
        <is>
          <t>Xác thực email bằng link token</t>
        </is>
      </c>
      <c r="C14" s="6" t="n">
        <v>1</v>
      </c>
      <c r="D14" s="4">
        <f>IF(C14&gt;=1,"Finished",IF(C14&lt;=0,"Not started","In progress"))</f>
        <v/>
      </c>
    </row>
    <row r="15">
      <c r="A15" s="4" t="n">
        <v>12</v>
      </c>
      <c r="B15" s="30" t="inlineStr">
        <is>
          <t>Gửi OTP xác thực tài khoản</t>
        </is>
      </c>
      <c r="C15" s="31" t="n">
        <v>0.8</v>
      </c>
      <c r="D15" s="4">
        <f>IF(C15&gt;=1,"Finished",IF(C15&lt;=0,"Not started","In progress"))</f>
        <v/>
      </c>
    </row>
    <row r="16">
      <c r="A16" s="4" t="n">
        <v>13</v>
      </c>
      <c r="B16" s="29" t="inlineStr">
        <is>
          <t>Xác minh OTP</t>
        </is>
      </c>
      <c r="C16" s="6" t="n">
        <v>1</v>
      </c>
      <c r="D16" s="4">
        <f>IF(C16&gt;=1,"Finished",IF(C16&lt;=0,"Not started","In progress"))</f>
        <v/>
      </c>
    </row>
    <row r="17">
      <c r="A17" s="4" t="n">
        <v>14</v>
      </c>
      <c r="B17" s="29" t="inlineStr">
        <is>
          <t>Gửi lại email xác thực (có cooldown)</t>
        </is>
      </c>
      <c r="C17" s="6" t="n">
        <v>1</v>
      </c>
      <c r="D17" s="4">
        <f>IF(C17&gt;=1,"Finished",IF(C17&lt;=0,"Not started","In progress"))</f>
        <v/>
      </c>
    </row>
    <row r="18">
      <c r="A18" s="4" t="n">
        <v>15</v>
      </c>
      <c r="B18" s="29" t="inlineStr">
        <is>
          <t>Liệt kê phiên đăng nhập đang hoạt động</t>
        </is>
      </c>
      <c r="C18" s="6" t="n">
        <v>1</v>
      </c>
      <c r="D18" s="4">
        <f>IF(C18&gt;=1,"Finished",IF(C18&lt;=0,"Not started","In progress"))</f>
        <v/>
      </c>
    </row>
    <row r="19">
      <c r="A19" s="4" t="n">
        <v>16</v>
      </c>
      <c r="B19" s="29" t="inlineStr">
        <is>
          <t>Thu hồi một phiên thiết bị cụ thể</t>
        </is>
      </c>
      <c r="C19" s="6" t="n">
        <v>1</v>
      </c>
      <c r="D19" s="4">
        <f>IF(C19&gt;=1,"Finished",IF(C19&lt;=0,"Not started","In progress"))</f>
        <v/>
      </c>
    </row>
    <row r="20">
      <c r="A20" s="4" t="n">
        <v>17</v>
      </c>
      <c r="B20" s="29" t="inlineStr">
        <is>
          <t>Thu hồi toàn bộ phiên khác</t>
        </is>
      </c>
      <c r="C20" s="6" t="n">
        <v>1</v>
      </c>
      <c r="D20" s="4">
        <f>IF(C20&gt;=1,"Finished",IF(C20&lt;=0,"Not started","In progress"))</f>
        <v/>
      </c>
    </row>
    <row r="21">
      <c r="A21" s="4" t="n">
        <v>18</v>
      </c>
      <c r="B21" s="29" t="inlineStr">
        <is>
          <t>Admin - kích hoạt reset mật khẩu cho user</t>
        </is>
      </c>
      <c r="C21" s="6" t="n">
        <v>1</v>
      </c>
      <c r="D21" s="4">
        <f>IF(C21&gt;=1,"Finished",IF(C21&lt;=0,"Not started","In progress"))</f>
        <v/>
      </c>
    </row>
    <row r="22">
      <c r="A22" s="4" t="n">
        <v>19</v>
      </c>
      <c r="B22" s="29" t="inlineStr">
        <is>
          <t>Admin - thu hồi toàn bộ phiên của user</t>
        </is>
      </c>
      <c r="C22" s="6" t="n">
        <v>1</v>
      </c>
      <c r="D22" s="4">
        <f>IF(C22&gt;=1,"Finished",IF(C22&lt;=0,"Not started","In progress"))</f>
        <v/>
      </c>
    </row>
    <row r="23">
      <c r="A23" s="4" t="n">
        <v>20</v>
      </c>
      <c r="B23" s="29" t="inlineStr">
        <is>
          <t>Admin - xác minh email hộ user</t>
        </is>
      </c>
      <c r="C23" s="6" t="n">
        <v>1</v>
      </c>
      <c r="D23" s="4">
        <f>IF(C23&gt;=1,"Finished",IF(C23&lt;=0,"Not started","In progress"))</f>
        <v/>
      </c>
    </row>
    <row r="24">
      <c r="A24" s="32" t="inlineStr">
        <is>
          <t>Không tính vào Progress — Unit test &amp; Tối ưu hoá tương lai</t>
        </is>
      </c>
      <c r="B24" s="33" t="n"/>
      <c r="C24" s="33" t="n"/>
      <c r="D24" s="33" t="n"/>
    </row>
    <row r="25">
      <c r="A25" s="4" t="n">
        <v>21</v>
      </c>
      <c r="B25" s="29" t="inlineStr">
        <is>
          <t>Unit test (auth.service + auth.controller)</t>
        </is>
      </c>
      <c r="C25" s="6" t="n">
        <v>1</v>
      </c>
      <c r="D25" s="4">
        <f>IF(C25&gt;=1,"Finished",IF(C25&lt;=0,"Not started","In progress"))</f>
        <v/>
      </c>
    </row>
    <row r="26">
      <c r="A26" s="34" t="n">
        <v>22</v>
      </c>
      <c r="B26" s="35" t="inlineStr">
        <is>
          <t>Tối ưu Index CSDL: Tránh Sequential Scan để giảm triệt để Disk I/O</t>
        </is>
      </c>
      <c r="C26" s="36" t="n"/>
      <c r="D26" s="34" t="inlineStr">
        <is>
          <t>In progress</t>
        </is>
      </c>
    </row>
    <row r="27">
      <c r="A27" s="34" t="n">
        <v>23</v>
      </c>
      <c r="B27" s="35" t="inlineStr">
        <is>
          <t>Tối ưu câu lệnh truy vấn: Triệt tiêu lỗi N+1 Query bằng JOIN hoặc batching</t>
        </is>
      </c>
      <c r="C27" s="36" t="n"/>
      <c r="D27" s="34" t="inlineStr">
        <is>
          <t>In progress</t>
        </is>
      </c>
    </row>
    <row r="28">
      <c r="A28" s="34" t="n">
        <v>24</v>
      </c>
      <c r="B28" s="35" t="inlineStr">
        <is>
          <t>Tối ưu Payload RESTful: Chỉ truy vấn các trường cần thiết, tránh payload chứa tất cả thông tin</t>
        </is>
      </c>
      <c r="C28" s="36" t="n"/>
      <c r="D28" s="34" t="inlineStr">
        <is>
          <t>In progress</t>
        </is>
      </c>
    </row>
    <row r="30" ht="30" customHeight="1">
      <c r="A30" s="7" t="inlineStr"/>
      <c r="B30" s="37" t="inlineStr">
        <is>
          <t>Tổng kết module (chỉ tính các feature phía trên)</t>
        </is>
      </c>
      <c r="C30" s="38">
        <f>AVERAGE(C4:C23)</f>
        <v/>
      </c>
      <c r="D30" s="39">
        <f>COUNTIF(D4:D23,"Finished")&amp;"/"&amp;COUNTA(D4:D23)&amp;" finished"</f>
        <v/>
      </c>
    </row>
    <row r="32">
      <c r="B32" s="2" t="inlineStr">
        <is>
          <t>Cách dùng: chỉ sửa cột C (Progress, 0%–100%). Cột D tự tính.</t>
        </is>
      </c>
    </row>
    <row r="33">
      <c r="B33" s="2" t="inlineStr">
        <is>
          <t>Ô tô vàng = chưa hoàn thiện; di chuột vào tên feature để xem ghi chú kỹ thuật.</t>
        </is>
      </c>
    </row>
    <row r="34">
      <c r="B34" s="2" t="inlineStr">
        <is>
          <t>Unit test và hạng mục tối ưu (nền xám) nằm ngoài vùng tổng kết, không ảnh hưởng Progress.</t>
        </is>
      </c>
    </row>
  </sheetData>
  <mergeCells count="3">
    <mergeCell ref="A1:D1"/>
    <mergeCell ref="A24:D24"/>
    <mergeCell ref="A2:D2"/>
  </mergeCells>
  <conditionalFormatting sqref="D4:D28">
    <cfRule type="cellIs" priority="1" operator="equal" dxfId="0">
      <formula>"Finished"</formula>
    </cfRule>
    <cfRule type="cellIs" priority="2" operator="equal" dxfId="1">
      <formula>"In progress"</formula>
    </cfRule>
    <cfRule type="cellIs" priority="3" operator="equal" dxfId="2">
      <formula>"Not started"</formula>
    </cfRule>
  </conditionalFormatting>
  <dataValidations count="1">
    <dataValidation sqref="C4:C23" showDropDown="0" showInputMessage="0" showErrorMessage="0" allowBlank="0" errorTitle="Gia tri khong hop le" error="Progress phai nam trong khoang 0% - 100%." type="decimal" operator="between">
      <formula1>0</formula1>
      <formula2>1</formula2>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33"/>
  <sheetViews>
    <sheetView workbookViewId="0">
      <pane ySplit="3" topLeftCell="A4" activePane="bottomLeft" state="frozen"/>
      <selection pane="bottomLeft" activeCell="A1" sqref="A1"/>
    </sheetView>
  </sheetViews>
  <sheetFormatPr baseColWidth="8" defaultRowHeight="15"/>
  <cols>
    <col width="6" customWidth="1" min="1" max="1"/>
    <col width="62" customWidth="1" min="2" max="2"/>
    <col width="12" customWidth="1" min="3" max="3"/>
    <col width="15" customWidth="1" min="4" max="4"/>
  </cols>
  <sheetData>
    <row r="1" ht="26" customHeight="1">
      <c r="A1" s="1" t="inlineStr">
        <is>
          <t>Users</t>
        </is>
      </c>
    </row>
    <row r="2">
      <c r="A2" s="2" t="inlineStr">
        <is>
          <t>Nguồn: src/users</t>
        </is>
      </c>
    </row>
    <row r="3" ht="20" customHeight="1">
      <c r="A3" s="3" t="inlineStr">
        <is>
          <t>No</t>
        </is>
      </c>
      <c r="B3" s="3" t="inlineStr">
        <is>
          <t>Feature Name</t>
        </is>
      </c>
      <c r="C3" s="3" t="inlineStr">
        <is>
          <t>Progress</t>
        </is>
      </c>
      <c r="D3" s="3" t="inlineStr">
        <is>
          <t>isDone</t>
        </is>
      </c>
    </row>
    <row r="4">
      <c r="A4" s="4" t="n">
        <v>1</v>
      </c>
      <c r="B4" s="29" t="inlineStr">
        <is>
          <t>Tạo người dùng</t>
        </is>
      </c>
      <c r="C4" s="6" t="n">
        <v>1</v>
      </c>
      <c r="D4" s="4">
        <f>IF(C4&gt;=1,"Finished",IF(C4&lt;=0,"Not started","In progress"))</f>
        <v/>
      </c>
    </row>
    <row r="5">
      <c r="A5" s="4" t="n">
        <v>2</v>
      </c>
      <c r="B5" s="29" t="inlineStr">
        <is>
          <t>Danh sách người dùng (phân trang, lọc)</t>
        </is>
      </c>
      <c r="C5" s="6" t="n">
        <v>1</v>
      </c>
      <c r="D5" s="4">
        <f>IF(C5&gt;=1,"Finished",IF(C5&lt;=0,"Not started","In progress"))</f>
        <v/>
      </c>
    </row>
    <row r="6">
      <c r="A6" s="4" t="n">
        <v>3</v>
      </c>
      <c r="B6" s="29" t="inlineStr">
        <is>
          <t>Xem chi tiết người dùng</t>
        </is>
      </c>
      <c r="C6" s="6" t="n">
        <v>1</v>
      </c>
      <c r="D6" s="4">
        <f>IF(C6&gt;=1,"Finished",IF(C6&lt;=0,"Not started","In progress"))</f>
        <v/>
      </c>
    </row>
    <row r="7">
      <c r="A7" s="4" t="n">
        <v>4</v>
      </c>
      <c r="B7" s="29" t="inlineStr">
        <is>
          <t>Cập nhật người dùng</t>
        </is>
      </c>
      <c r="C7" s="6" t="n">
        <v>1</v>
      </c>
      <c r="D7" s="4">
        <f>IF(C7&gt;=1,"Finished",IF(C7&lt;=0,"Not started","In progress"))</f>
        <v/>
      </c>
    </row>
    <row r="8">
      <c r="A8" s="4" t="n">
        <v>5</v>
      </c>
      <c r="B8" s="29" t="inlineStr">
        <is>
          <t>Xoá mềm người dùng</t>
        </is>
      </c>
      <c r="C8" s="6" t="n">
        <v>1</v>
      </c>
      <c r="D8" s="4">
        <f>IF(C8&gt;=1,"Finished",IF(C8&lt;=0,"Not started","In progress"))</f>
        <v/>
      </c>
    </row>
    <row r="9">
      <c r="A9" s="4" t="n">
        <v>6</v>
      </c>
      <c r="B9" s="29" t="inlineStr">
        <is>
          <t>Thùng rác (recycle bin)</t>
        </is>
      </c>
      <c r="C9" s="6" t="n">
        <v>1</v>
      </c>
      <c r="D9" s="4">
        <f>IF(C9&gt;=1,"Finished",IF(C9&lt;=0,"Not started","In progress"))</f>
        <v/>
      </c>
    </row>
    <row r="10">
      <c r="A10" s="4" t="n">
        <v>7</v>
      </c>
      <c r="B10" s="29" t="inlineStr">
        <is>
          <t>Khôi phục người dùng đã xoá</t>
        </is>
      </c>
      <c r="C10" s="6" t="n">
        <v>1</v>
      </c>
      <c r="D10" s="4">
        <f>IF(C10&gt;=1,"Finished",IF(C10&lt;=0,"Not started","In progress"))</f>
        <v/>
      </c>
    </row>
    <row r="11">
      <c r="A11" s="4" t="n">
        <v>8</v>
      </c>
      <c r="B11" s="29" t="inlineStr">
        <is>
          <t>Danh sách rút gọn (available) cho dropdown</t>
        </is>
      </c>
      <c r="C11" s="6" t="n">
        <v>1</v>
      </c>
      <c r="D11" s="4">
        <f>IF(C11&gt;=1,"Finished",IF(C11&lt;=0,"Not started","In progress"))</f>
        <v/>
      </c>
    </row>
    <row r="12">
      <c r="A12" s="4" t="n">
        <v>9</v>
      </c>
      <c r="B12" s="29" t="inlineStr">
        <is>
          <t>Xem hồ sơ nhanh (quick profile)</t>
        </is>
      </c>
      <c r="C12" s="6" t="n">
        <v>1</v>
      </c>
      <c r="D12" s="4">
        <f>IF(C12&gt;=1,"Finished",IF(C12&lt;=0,"Not started","In progress"))</f>
        <v/>
      </c>
    </row>
    <row r="13">
      <c r="A13" s="4" t="n">
        <v>10</v>
      </c>
      <c r="B13" s="29" t="inlineStr">
        <is>
          <t>Xem hồ sơ đầy đủ (full profile)</t>
        </is>
      </c>
      <c r="C13" s="6" t="n">
        <v>1</v>
      </c>
      <c r="D13" s="4">
        <f>IF(C13&gt;=1,"Finished",IF(C13&lt;=0,"Not started","In progress"))</f>
        <v/>
      </c>
    </row>
    <row r="14">
      <c r="A14" s="4" t="n">
        <v>11</v>
      </c>
      <c r="B14" s="29" t="inlineStr">
        <is>
          <t>Ma trận quyền truy cập toàn bộ user</t>
        </is>
      </c>
      <c r="C14" s="6" t="n">
        <v>1</v>
      </c>
      <c r="D14" s="4">
        <f>IF(C14&gt;=1,"Finished",IF(C14&lt;=0,"Not started","In progress"))</f>
        <v/>
      </c>
    </row>
    <row r="15">
      <c r="A15" s="4" t="n">
        <v>12</v>
      </c>
      <c r="B15" s="29" t="inlineStr">
        <is>
          <t>Chi tiết quyền truy cập của một user</t>
        </is>
      </c>
      <c r="C15" s="6" t="n">
        <v>1</v>
      </c>
      <c r="D15" s="4">
        <f>IF(C15&gt;=1,"Finished",IF(C15&lt;=0,"Not started","In progress"))</f>
        <v/>
      </c>
    </row>
    <row r="16">
      <c r="A16" s="4" t="n">
        <v>13</v>
      </c>
      <c r="B16" s="29" t="inlineStr">
        <is>
          <t>Cập nhật quyền/vai trò của user</t>
        </is>
      </c>
      <c r="C16" s="6" t="n">
        <v>1</v>
      </c>
      <c r="D16" s="4">
        <f>IF(C16&gt;=1,"Finished",IF(C16&lt;=0,"Not started","In progress"))</f>
        <v/>
      </c>
    </row>
    <row r="17">
      <c r="A17" s="4" t="n">
        <v>14</v>
      </c>
      <c r="B17" s="29" t="inlineStr">
        <is>
          <t>Mở khoá dữ liệu định danh (step-up auth)</t>
        </is>
      </c>
      <c r="C17" s="6" t="n">
        <v>1</v>
      </c>
      <c r="D17" s="4">
        <f>IF(C17&gt;=1,"Finished",IF(C17&lt;=0,"Not started","In progress"))</f>
        <v/>
      </c>
    </row>
    <row r="18">
      <c r="A18" s="4" t="n">
        <v>15</v>
      </c>
      <c r="B18" s="29" t="inlineStr">
        <is>
          <t>Mở khoá dữ liệu tài chính (step-up auth)</t>
        </is>
      </c>
      <c r="C18" s="6" t="n">
        <v>1</v>
      </c>
      <c r="D18" s="4">
        <f>IF(C18&gt;=1,"Finished",IF(C18&lt;=0,"Not started","In progress"))</f>
        <v/>
      </c>
    </row>
    <row r="19">
      <c r="A19" s="4" t="n">
        <v>16</v>
      </c>
      <c r="B19" s="29" t="inlineStr">
        <is>
          <t>Gửi yêu cầu nhận hồ sơ nhân viên (claim)</t>
        </is>
      </c>
      <c r="C19" s="6" t="n">
        <v>1</v>
      </c>
      <c r="D19" s="4">
        <f>IF(C19&gt;=1,"Finished",IF(C19&lt;=0,"Not started","In progress"))</f>
        <v/>
      </c>
    </row>
    <row r="20">
      <c r="A20" s="4" t="n">
        <v>17</v>
      </c>
      <c r="B20" s="29" t="inlineStr">
        <is>
          <t>Danh sách claim đang chờ duyệt</t>
        </is>
      </c>
      <c r="C20" s="6" t="n">
        <v>1</v>
      </c>
      <c r="D20" s="4">
        <f>IF(C20&gt;=1,"Finished",IF(C20&lt;=0,"Not started","In progress"))</f>
        <v/>
      </c>
    </row>
    <row r="21">
      <c r="A21" s="4" t="n">
        <v>18</v>
      </c>
      <c r="B21" s="29" t="inlineStr">
        <is>
          <t>Duyệt claim hồ sơ</t>
        </is>
      </c>
      <c r="C21" s="6" t="n">
        <v>1</v>
      </c>
      <c r="D21" s="4">
        <f>IF(C21&gt;=1,"Finished",IF(C21&lt;=0,"Not started","In progress"))</f>
        <v/>
      </c>
    </row>
    <row r="22">
      <c r="A22" s="4" t="n">
        <v>19</v>
      </c>
      <c r="B22" s="29" t="inlineStr">
        <is>
          <t>Từ chối claim hồ sơ</t>
        </is>
      </c>
      <c r="C22" s="6" t="n">
        <v>1</v>
      </c>
      <c r="D22" s="4">
        <f>IF(C22&gt;=1,"Finished",IF(C22&lt;=0,"Not started","In progress"))</f>
        <v/>
      </c>
    </row>
    <row r="23">
      <c r="A23" s="32" t="inlineStr">
        <is>
          <t>Không tính vào Progress — Unit test &amp; Tối ưu hoá tương lai</t>
        </is>
      </c>
      <c r="B23" s="33" t="n"/>
      <c r="C23" s="33" t="n"/>
      <c r="D23" s="33" t="n"/>
    </row>
    <row r="24">
      <c r="A24" s="4" t="n">
        <v>20</v>
      </c>
      <c r="B24" s="29" t="inlineStr">
        <is>
          <t>Unit test (users.service + users.controller)</t>
        </is>
      </c>
      <c r="C24" s="6" t="n">
        <v>1</v>
      </c>
      <c r="D24" s="4">
        <f>IF(C24&gt;=1,"Finished",IF(C24&lt;=0,"Not started","In progress"))</f>
        <v/>
      </c>
    </row>
    <row r="25">
      <c r="A25" s="34" t="n">
        <v>21</v>
      </c>
      <c r="B25" s="35" t="inlineStr">
        <is>
          <t>Tối ưu Index CSDL: Tránh Sequential Scan để giảm triệt để Disk I/O</t>
        </is>
      </c>
      <c r="C25" s="36" t="n"/>
      <c r="D25" s="34" t="inlineStr">
        <is>
          <t>In progress</t>
        </is>
      </c>
    </row>
    <row r="26">
      <c r="A26" s="34" t="n">
        <v>22</v>
      </c>
      <c r="B26" s="35" t="inlineStr">
        <is>
          <t>Tối ưu câu lệnh truy vấn: Triệt tiêu lỗi N+1 Query bằng JOIN hoặc batching</t>
        </is>
      </c>
      <c r="C26" s="36" t="n"/>
      <c r="D26" s="34" t="inlineStr">
        <is>
          <t>In progress</t>
        </is>
      </c>
    </row>
    <row r="27">
      <c r="A27" s="34" t="n">
        <v>23</v>
      </c>
      <c r="B27" s="35" t="inlineStr">
        <is>
          <t>Tối ưu Payload RESTful: Chỉ truy vấn các trường cần thiết, tránh payload chứa tất cả thông tin</t>
        </is>
      </c>
      <c r="C27" s="36" t="n"/>
      <c r="D27" s="34" t="inlineStr">
        <is>
          <t>In progress</t>
        </is>
      </c>
    </row>
    <row r="29" ht="30" customHeight="1">
      <c r="A29" s="7" t="inlineStr"/>
      <c r="B29" s="37" t="inlineStr">
        <is>
          <t>Tổng kết module (chỉ tính các feature phía trên)</t>
        </is>
      </c>
      <c r="C29" s="38">
        <f>AVERAGE(C4:C22)</f>
        <v/>
      </c>
      <c r="D29" s="39">
        <f>COUNTIF(D4:D22,"Finished")&amp;"/"&amp;COUNTA(D4:D22)&amp;" finished"</f>
        <v/>
      </c>
    </row>
    <row r="31">
      <c r="B31" s="2" t="inlineStr">
        <is>
          <t>Cách dùng: chỉ sửa cột C (Progress, 0%–100%). Cột D tự tính.</t>
        </is>
      </c>
    </row>
    <row r="32">
      <c r="B32" s="2" t="inlineStr">
        <is>
          <t>Ô tô vàng = chưa hoàn thiện; di chuột vào tên feature để xem ghi chú kỹ thuật.</t>
        </is>
      </c>
    </row>
    <row r="33">
      <c r="B33" s="2" t="inlineStr">
        <is>
          <t>Unit test và hạng mục tối ưu (nền xám) nằm ngoài vùng tổng kết, không ảnh hưởng Progress.</t>
        </is>
      </c>
    </row>
  </sheetData>
  <mergeCells count="3">
    <mergeCell ref="A1:D1"/>
    <mergeCell ref="A23:D23"/>
    <mergeCell ref="A2:D2"/>
  </mergeCells>
  <conditionalFormatting sqref="D4:D27">
    <cfRule type="cellIs" priority="1" operator="equal" dxfId="0">
      <formula>"Finished"</formula>
    </cfRule>
    <cfRule type="cellIs" priority="2" operator="equal" dxfId="1">
      <formula>"In progress"</formula>
    </cfRule>
    <cfRule type="cellIs" priority="3" operator="equal" dxfId="2">
      <formula>"Not started"</formula>
    </cfRule>
  </conditionalFormatting>
  <dataValidations count="1">
    <dataValidation sqref="C4:C22" showDropDown="0" showInputMessage="0" showErrorMessage="0" allowBlank="0" errorTitle="Gia tri khong hop le" error="Progress phai nam trong khoang 0% - 100%." type="decimal" operator="between">
      <formula1>0</formula1>
      <formula2>1</formula2>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D28"/>
  <sheetViews>
    <sheetView workbookViewId="0">
      <pane ySplit="3" topLeftCell="A4" activePane="bottomLeft" state="frozen"/>
      <selection pane="bottomLeft" activeCell="A1" sqref="A1"/>
    </sheetView>
  </sheetViews>
  <sheetFormatPr baseColWidth="8" defaultRowHeight="15"/>
  <cols>
    <col width="6" customWidth="1" min="1" max="1"/>
    <col width="62" customWidth="1" min="2" max="2"/>
    <col width="12" customWidth="1" min="3" max="3"/>
    <col width="15" customWidth="1" min="4" max="4"/>
  </cols>
  <sheetData>
    <row r="1" ht="26" customHeight="1">
      <c r="A1" s="1" t="inlineStr">
        <is>
          <t>Roles</t>
        </is>
      </c>
    </row>
    <row r="2">
      <c r="A2" s="2" t="inlineStr">
        <is>
          <t>Nguồn: src/roles</t>
        </is>
      </c>
    </row>
    <row r="3" ht="20" customHeight="1">
      <c r="A3" s="3" t="inlineStr">
        <is>
          <t>No</t>
        </is>
      </c>
      <c r="B3" s="3" t="inlineStr">
        <is>
          <t>Feature Name</t>
        </is>
      </c>
      <c r="C3" s="3" t="inlineStr">
        <is>
          <t>Progress</t>
        </is>
      </c>
      <c r="D3" s="3" t="inlineStr">
        <is>
          <t>isDone</t>
        </is>
      </c>
    </row>
    <row r="4">
      <c r="A4" s="4" t="n">
        <v>1</v>
      </c>
      <c r="B4" s="29" t="inlineStr">
        <is>
          <t>Tạo vai trò</t>
        </is>
      </c>
      <c r="C4" s="6" t="n">
        <v>1</v>
      </c>
      <c r="D4" s="4">
        <f>IF(C4&gt;=1,"Finished",IF(C4&lt;=0,"Not started","In progress"))</f>
        <v/>
      </c>
    </row>
    <row r="5">
      <c r="A5" s="4" t="n">
        <v>2</v>
      </c>
      <c r="B5" s="29" t="inlineStr">
        <is>
          <t>Danh sách vai trò</t>
        </is>
      </c>
      <c r="C5" s="6" t="n">
        <v>1</v>
      </c>
      <c r="D5" s="4">
        <f>IF(C5&gt;=1,"Finished",IF(C5&lt;=0,"Not started","In progress"))</f>
        <v/>
      </c>
    </row>
    <row r="6">
      <c r="A6" s="4" t="n">
        <v>3</v>
      </c>
      <c r="B6" s="29" t="inlineStr">
        <is>
          <t>Chi tiết vai trò kèm quyền</t>
        </is>
      </c>
      <c r="C6" s="6" t="n">
        <v>1</v>
      </c>
      <c r="D6" s="4">
        <f>IF(C6&gt;=1,"Finished",IF(C6&lt;=0,"Not started","In progress"))</f>
        <v/>
      </c>
    </row>
    <row r="7">
      <c r="A7" s="4" t="n">
        <v>4</v>
      </c>
      <c r="B7" s="29" t="inlineStr">
        <is>
          <t>Cập nhật vai trò</t>
        </is>
      </c>
      <c r="C7" s="6" t="n">
        <v>1</v>
      </c>
      <c r="D7" s="4">
        <f>IF(C7&gt;=1,"Finished",IF(C7&lt;=0,"Not started","In progress"))</f>
        <v/>
      </c>
    </row>
    <row r="8">
      <c r="A8" s="4" t="n">
        <v>5</v>
      </c>
      <c r="B8" s="29" t="inlineStr">
        <is>
          <t>Xoá mềm vai trò</t>
        </is>
      </c>
      <c r="C8" s="6" t="n">
        <v>1</v>
      </c>
      <c r="D8" s="4">
        <f>IF(C8&gt;=1,"Finished",IF(C8&lt;=0,"Not started","In progress"))</f>
        <v/>
      </c>
    </row>
    <row r="9">
      <c r="A9" s="4" t="n">
        <v>6</v>
      </c>
      <c r="B9" s="29" t="inlineStr">
        <is>
          <t>Thùng rác vai trò</t>
        </is>
      </c>
      <c r="C9" s="6" t="n">
        <v>1</v>
      </c>
      <c r="D9" s="4">
        <f>IF(C9&gt;=1,"Finished",IF(C9&lt;=0,"Not started","In progress"))</f>
        <v/>
      </c>
    </row>
    <row r="10">
      <c r="A10" s="4" t="n">
        <v>7</v>
      </c>
      <c r="B10" s="29" t="inlineStr">
        <is>
          <t>Khôi phục vai trò</t>
        </is>
      </c>
      <c r="C10" s="6" t="n">
        <v>1</v>
      </c>
      <c r="D10" s="4">
        <f>IF(C10&gt;=1,"Finished",IF(C10&lt;=0,"Not started","In progress"))</f>
        <v/>
      </c>
    </row>
    <row r="11">
      <c r="A11" s="4" t="n">
        <v>8</v>
      </c>
      <c r="B11" s="29" t="inlineStr">
        <is>
          <t>Bật/tắt trạng thái vai trò</t>
        </is>
      </c>
      <c r="C11" s="6" t="n">
        <v>1</v>
      </c>
      <c r="D11" s="4">
        <f>IF(C11&gt;=1,"Finished",IF(C11&lt;=0,"Not started","In progress"))</f>
        <v/>
      </c>
    </row>
    <row r="12">
      <c r="A12" s="4" t="n">
        <v>9</v>
      </c>
      <c r="B12" s="29" t="inlineStr">
        <is>
          <t>Danh sách rút gọn (available)</t>
        </is>
      </c>
      <c r="C12" s="6" t="n">
        <v>1</v>
      </c>
      <c r="D12" s="4">
        <f>IF(C12&gt;=1,"Finished",IF(C12&lt;=0,"Not started","In progress"))</f>
        <v/>
      </c>
    </row>
    <row r="13">
      <c r="A13" s="4" t="n">
        <v>10</v>
      </c>
      <c r="B13" s="29" t="inlineStr">
        <is>
          <t>Danh mục quyền theo nhóm (grouped permissions)</t>
        </is>
      </c>
      <c r="C13" s="6" t="n">
        <v>1</v>
      </c>
      <c r="D13" s="4">
        <f>IF(C13&gt;=1,"Finished",IF(C13&lt;=0,"Not started","In progress"))</f>
        <v/>
      </c>
    </row>
    <row r="14">
      <c r="A14" s="4" t="n">
        <v>11</v>
      </c>
      <c r="B14" s="29" t="inlineStr">
        <is>
          <t>Cập nhật hàng loạt quyền của vai trò</t>
        </is>
      </c>
      <c r="C14" s="6" t="n">
        <v>1</v>
      </c>
      <c r="D14" s="4">
        <f>IF(C14&gt;=1,"Finished",IF(C14&lt;=0,"Not started","In progress"))</f>
        <v/>
      </c>
    </row>
    <row r="15">
      <c r="A15" s="4" t="n">
        <v>12</v>
      </c>
      <c r="B15" s="29" t="inlineStr">
        <is>
          <t>Gán hàng loạt người dùng vào vai trò</t>
        </is>
      </c>
      <c r="C15" s="6" t="n">
        <v>1</v>
      </c>
      <c r="D15" s="4">
        <f>IF(C15&gt;=1,"Finished",IF(C15&lt;=0,"Not started","In progress"))</f>
        <v/>
      </c>
    </row>
    <row r="16">
      <c r="A16" s="4" t="n">
        <v>13</v>
      </c>
      <c r="B16" s="29" t="inlineStr">
        <is>
          <t>Gán một người dùng vào vai trò</t>
        </is>
      </c>
      <c r="C16" s="6" t="n">
        <v>1</v>
      </c>
      <c r="D16" s="4">
        <f>IF(C16&gt;=1,"Finished",IF(C16&lt;=0,"Not started","In progress"))</f>
        <v/>
      </c>
    </row>
    <row r="17">
      <c r="A17" s="4" t="n">
        <v>14</v>
      </c>
      <c r="B17" s="29" t="inlineStr">
        <is>
          <t>Gỡ một người dùng khỏi vai trò</t>
        </is>
      </c>
      <c r="C17" s="6" t="n">
        <v>1</v>
      </c>
      <c r="D17" s="4">
        <f>IF(C17&gt;=1,"Finished",IF(C17&lt;=0,"Not started","In progress"))</f>
        <v/>
      </c>
    </row>
    <row r="18">
      <c r="A18" s="32" t="inlineStr">
        <is>
          <t>Không tính vào Progress — Unit test &amp; Tối ưu hoá tương lai</t>
        </is>
      </c>
      <c r="B18" s="33" t="n"/>
      <c r="C18" s="33" t="n"/>
      <c r="D18" s="33" t="n"/>
    </row>
    <row r="19">
      <c r="A19" s="4" t="n">
        <v>15</v>
      </c>
      <c r="B19" s="29" t="inlineStr">
        <is>
          <t>Unit test (roles.service + roles.controller)</t>
        </is>
      </c>
      <c r="C19" s="6" t="n">
        <v>1</v>
      </c>
      <c r="D19" s="4">
        <f>IF(C19&gt;=1,"Finished",IF(C19&lt;=0,"Not started","In progress"))</f>
        <v/>
      </c>
    </row>
    <row r="20">
      <c r="A20" s="34" t="n">
        <v>16</v>
      </c>
      <c r="B20" s="35" t="inlineStr">
        <is>
          <t>Tối ưu Index CSDL: Tránh Sequential Scan để giảm triệt để Disk I/O</t>
        </is>
      </c>
      <c r="C20" s="36" t="n"/>
      <c r="D20" s="34" t="inlineStr">
        <is>
          <t>In progress</t>
        </is>
      </c>
    </row>
    <row r="21">
      <c r="A21" s="34" t="n">
        <v>17</v>
      </c>
      <c r="B21" s="35" t="inlineStr">
        <is>
          <t>Tối ưu câu lệnh truy vấn: Triệt tiêu lỗi N+1 Query bằng JOIN hoặc batching</t>
        </is>
      </c>
      <c r="C21" s="36" t="n"/>
      <c r="D21" s="34" t="inlineStr">
        <is>
          <t>In progress</t>
        </is>
      </c>
    </row>
    <row r="22">
      <c r="A22" s="34" t="n">
        <v>18</v>
      </c>
      <c r="B22" s="35" t="inlineStr">
        <is>
          <t>Tối ưu Payload RESTful: Chỉ truy vấn các trường cần thiết, tránh payload chứa tất cả thông tin</t>
        </is>
      </c>
      <c r="C22" s="36" t="n"/>
      <c r="D22" s="34" t="inlineStr">
        <is>
          <t>In progress</t>
        </is>
      </c>
    </row>
    <row r="24" ht="30" customHeight="1">
      <c r="A24" s="7" t="inlineStr"/>
      <c r="B24" s="37" t="inlineStr">
        <is>
          <t>Tổng kết module (chỉ tính các feature phía trên)</t>
        </is>
      </c>
      <c r="C24" s="38">
        <f>AVERAGE(C4:C17)</f>
        <v/>
      </c>
      <c r="D24" s="39">
        <f>COUNTIF(D4:D17,"Finished")&amp;"/"&amp;COUNTA(D4:D17)&amp;" finished"</f>
        <v/>
      </c>
    </row>
    <row r="26">
      <c r="B26" s="2" t="inlineStr">
        <is>
          <t>Cách dùng: chỉ sửa cột C (Progress, 0%–100%). Cột D tự tính.</t>
        </is>
      </c>
    </row>
    <row r="27">
      <c r="B27" s="2" t="inlineStr">
        <is>
          <t>Ô tô vàng = chưa hoàn thiện; di chuột vào tên feature để xem ghi chú kỹ thuật.</t>
        </is>
      </c>
    </row>
    <row r="28">
      <c r="B28" s="2" t="inlineStr">
        <is>
          <t>Unit test và hạng mục tối ưu (nền xám) nằm ngoài vùng tổng kết, không ảnh hưởng Progress.</t>
        </is>
      </c>
    </row>
  </sheetData>
  <mergeCells count="3">
    <mergeCell ref="A1:D1"/>
    <mergeCell ref="A18:D18"/>
    <mergeCell ref="A2:D2"/>
  </mergeCells>
  <conditionalFormatting sqref="D4:D22">
    <cfRule type="cellIs" priority="1" operator="equal" dxfId="0">
      <formula>"Finished"</formula>
    </cfRule>
    <cfRule type="cellIs" priority="2" operator="equal" dxfId="1">
      <formula>"In progress"</formula>
    </cfRule>
    <cfRule type="cellIs" priority="3" operator="equal" dxfId="2">
      <formula>"Not started"</formula>
    </cfRule>
  </conditionalFormatting>
  <dataValidations count="1">
    <dataValidation sqref="C4:C17" showDropDown="0" showInputMessage="0" showErrorMessage="0" allowBlank="0" errorTitle="Gia tri khong hop le" error="Progress phai nam trong khoang 0% - 100%." type="decimal" operator="between">
      <formula1>0</formula1>
      <formula2>1</formula2>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D26"/>
  <sheetViews>
    <sheetView workbookViewId="0">
      <pane ySplit="3" topLeftCell="A4" activePane="bottomLeft" state="frozen"/>
      <selection pane="bottomLeft" activeCell="A1" sqref="A1"/>
    </sheetView>
  </sheetViews>
  <sheetFormatPr baseColWidth="8" defaultRowHeight="15"/>
  <cols>
    <col width="6" customWidth="1" min="1" max="1"/>
    <col width="62" customWidth="1" min="2" max="2"/>
    <col width="12" customWidth="1" min="3" max="3"/>
    <col width="15" customWidth="1" min="4" max="4"/>
  </cols>
  <sheetData>
    <row r="1" ht="26" customHeight="1">
      <c r="A1" s="1" t="inlineStr">
        <is>
          <t>Permissions</t>
        </is>
      </c>
    </row>
    <row r="2">
      <c r="A2" s="2" t="inlineStr">
        <is>
          <t>Nguồn: src/permissions</t>
        </is>
      </c>
    </row>
    <row r="3" ht="20" customHeight="1">
      <c r="A3" s="3" t="inlineStr">
        <is>
          <t>No</t>
        </is>
      </c>
      <c r="B3" s="3" t="inlineStr">
        <is>
          <t>Feature Name</t>
        </is>
      </c>
      <c r="C3" s="3" t="inlineStr">
        <is>
          <t>Progress</t>
        </is>
      </c>
      <c r="D3" s="3" t="inlineStr">
        <is>
          <t>isDone</t>
        </is>
      </c>
    </row>
    <row r="4">
      <c r="A4" s="4" t="n">
        <v>1</v>
      </c>
      <c r="B4" s="29" t="inlineStr">
        <is>
          <t>Tạo quyền</t>
        </is>
      </c>
      <c r="C4" s="6" t="n">
        <v>1</v>
      </c>
      <c r="D4" s="4">
        <f>IF(C4&gt;=1,"Finished",IF(C4&lt;=0,"Not started","In progress"))</f>
        <v/>
      </c>
    </row>
    <row r="5">
      <c r="A5" s="4" t="n">
        <v>2</v>
      </c>
      <c r="B5" s="29" t="inlineStr">
        <is>
          <t>Danh sách quyền</t>
        </is>
      </c>
      <c r="C5" s="6" t="n">
        <v>1</v>
      </c>
      <c r="D5" s="4">
        <f>IF(C5&gt;=1,"Finished",IF(C5&lt;=0,"Not started","In progress"))</f>
        <v/>
      </c>
    </row>
    <row r="6">
      <c r="A6" s="4" t="n">
        <v>3</v>
      </c>
      <c r="B6" s="29" t="inlineStr">
        <is>
          <t>Chi tiết quyền</t>
        </is>
      </c>
      <c r="C6" s="6" t="n">
        <v>1</v>
      </c>
      <c r="D6" s="4">
        <f>IF(C6&gt;=1,"Finished",IF(C6&lt;=0,"Not started","In progress"))</f>
        <v/>
      </c>
    </row>
    <row r="7">
      <c r="A7" s="4" t="n">
        <v>4</v>
      </c>
      <c r="B7" s="29" t="inlineStr">
        <is>
          <t>Cập nhật quyền</t>
        </is>
      </c>
      <c r="C7" s="6" t="n">
        <v>1</v>
      </c>
      <c r="D7" s="4">
        <f>IF(C7&gt;=1,"Finished",IF(C7&lt;=0,"Not started","In progress"))</f>
        <v/>
      </c>
    </row>
    <row r="8">
      <c r="A8" s="4" t="n">
        <v>5</v>
      </c>
      <c r="B8" s="29" t="inlineStr">
        <is>
          <t>Xoá quyền</t>
        </is>
      </c>
      <c r="C8" s="6" t="n">
        <v>1</v>
      </c>
      <c r="D8" s="4">
        <f>IF(C8&gt;=1,"Finished",IF(C8&lt;=0,"Not started","In progress"))</f>
        <v/>
      </c>
    </row>
    <row r="9">
      <c r="A9" s="4" t="n">
        <v>6</v>
      </c>
      <c r="B9" s="29" t="inlineStr">
        <is>
          <t>Danh sách rút gọn (available)</t>
        </is>
      </c>
      <c r="C9" s="6" t="n">
        <v>1</v>
      </c>
      <c r="D9" s="4">
        <f>IF(C9&gt;=1,"Finished",IF(C9&lt;=0,"Not started","In progress"))</f>
        <v/>
      </c>
    </row>
    <row r="10">
      <c r="A10" s="4" t="n">
        <v>7</v>
      </c>
      <c r="B10" s="29" t="inlineStr">
        <is>
          <t>Danh mục enum quyền</t>
        </is>
      </c>
      <c r="C10" s="6" t="n">
        <v>1</v>
      </c>
      <c r="D10" s="4">
        <f>IF(C10&gt;=1,"Finished",IF(C10&lt;=0,"Not started","In progress"))</f>
        <v/>
      </c>
    </row>
    <row r="11">
      <c r="A11" s="4" t="n">
        <v>8</v>
      </c>
      <c r="B11" s="29" t="inlineStr">
        <is>
          <t>Bật/tắt trạng thái quyền</t>
        </is>
      </c>
      <c r="C11" s="6" t="n">
        <v>1</v>
      </c>
      <c r="D11" s="4">
        <f>IF(C11&gt;=1,"Finished",IF(C11&lt;=0,"Not started","In progress"))</f>
        <v/>
      </c>
    </row>
    <row r="12">
      <c r="A12" s="4" t="n">
        <v>9</v>
      </c>
      <c r="B12" s="29" t="inlineStr">
        <is>
          <t>Khôi phục quyền</t>
        </is>
      </c>
      <c r="C12" s="6" t="n">
        <v>1</v>
      </c>
      <c r="D12" s="4">
        <f>IF(C12&gt;=1,"Finished",IF(C12&lt;=0,"Not started","In progress"))</f>
        <v/>
      </c>
    </row>
    <row r="13">
      <c r="A13" s="4" t="n">
        <v>10</v>
      </c>
      <c r="B13" s="29" t="inlineStr">
        <is>
          <t>Guard bắt buộc đủ quyền (@RequirePermissions)</t>
        </is>
      </c>
      <c r="C13" s="6" t="n">
        <v>1</v>
      </c>
      <c r="D13" s="4">
        <f>IF(C13&gt;=1,"Finished",IF(C13&lt;=0,"Not started","In progress"))</f>
        <v/>
      </c>
    </row>
    <row r="14">
      <c r="A14" s="4" t="n">
        <v>11</v>
      </c>
      <c r="B14" s="29" t="inlineStr">
        <is>
          <t>Guard bắt buộc một trong các quyền (@RequireAnyPermissions)</t>
        </is>
      </c>
      <c r="C14" s="6" t="n">
        <v>1</v>
      </c>
      <c r="D14" s="4">
        <f>IF(C14&gt;=1,"Finished",IF(C14&lt;=0,"Not started","In progress"))</f>
        <v/>
      </c>
    </row>
    <row r="15">
      <c r="A15" s="4" t="n">
        <v>12</v>
      </c>
      <c r="B15" s="29" t="inlineStr">
        <is>
          <t>Cache Redis cho tra cứu quyền</t>
        </is>
      </c>
      <c r="C15" s="6" t="n">
        <v>1</v>
      </c>
      <c r="D15" s="4">
        <f>IF(C15&gt;=1,"Finished",IF(C15&lt;=0,"Not started","In progress"))</f>
        <v/>
      </c>
    </row>
    <row r="16">
      <c r="A16" s="32" t="inlineStr">
        <is>
          <t>Không tính vào Progress — Unit test &amp; Tối ưu hoá tương lai</t>
        </is>
      </c>
      <c r="B16" s="33" t="n"/>
      <c r="C16" s="33" t="n"/>
      <c r="D16" s="33" t="n"/>
    </row>
    <row r="17">
      <c r="A17" s="4" t="n">
        <v>13</v>
      </c>
      <c r="B17" s="29" t="inlineStr">
        <is>
          <t>Unit test (permissions.service + controller)</t>
        </is>
      </c>
      <c r="C17" s="6" t="n">
        <v>1</v>
      </c>
      <c r="D17" s="4">
        <f>IF(C17&gt;=1,"Finished",IF(C17&lt;=0,"Not started","In progress"))</f>
        <v/>
      </c>
    </row>
    <row r="18">
      <c r="A18" s="34" t="n">
        <v>14</v>
      </c>
      <c r="B18" s="35" t="inlineStr">
        <is>
          <t>Tối ưu Index CSDL: Tránh Sequential Scan để giảm triệt để Disk I/O</t>
        </is>
      </c>
      <c r="C18" s="36" t="n"/>
      <c r="D18" s="34" t="inlineStr">
        <is>
          <t>In progress</t>
        </is>
      </c>
    </row>
    <row r="19">
      <c r="A19" s="34" t="n">
        <v>15</v>
      </c>
      <c r="B19" s="35" t="inlineStr">
        <is>
          <t>Tối ưu câu lệnh truy vấn: Triệt tiêu lỗi N+1 Query bằng JOIN hoặc batching</t>
        </is>
      </c>
      <c r="C19" s="36" t="n"/>
      <c r="D19" s="34" t="inlineStr">
        <is>
          <t>In progress</t>
        </is>
      </c>
    </row>
    <row r="20">
      <c r="A20" s="34" t="n">
        <v>16</v>
      </c>
      <c r="B20" s="35" t="inlineStr">
        <is>
          <t>Tối ưu Payload RESTful: Chỉ truy vấn các trường cần thiết, tránh payload chứa tất cả thông tin</t>
        </is>
      </c>
      <c r="C20" s="36" t="n"/>
      <c r="D20" s="34" t="inlineStr">
        <is>
          <t>In progress</t>
        </is>
      </c>
    </row>
    <row r="22" ht="30" customHeight="1">
      <c r="A22" s="7" t="inlineStr"/>
      <c r="B22" s="37" t="inlineStr">
        <is>
          <t>Tổng kết module (chỉ tính các feature phía trên)</t>
        </is>
      </c>
      <c r="C22" s="38">
        <f>AVERAGE(C4:C15)</f>
        <v/>
      </c>
      <c r="D22" s="39">
        <f>COUNTIF(D4:D15,"Finished")&amp;"/"&amp;COUNTA(D4:D15)&amp;" finished"</f>
        <v/>
      </c>
    </row>
    <row r="24">
      <c r="B24" s="2" t="inlineStr">
        <is>
          <t>Cách dùng: chỉ sửa cột C (Progress, 0%–100%). Cột D tự tính.</t>
        </is>
      </c>
    </row>
    <row r="25">
      <c r="B25" s="2" t="inlineStr">
        <is>
          <t>Ô tô vàng = chưa hoàn thiện; di chuột vào tên feature để xem ghi chú kỹ thuật.</t>
        </is>
      </c>
    </row>
    <row r="26">
      <c r="B26" s="2" t="inlineStr">
        <is>
          <t>Unit test và hạng mục tối ưu (nền xám) nằm ngoài vùng tổng kết, không ảnh hưởng Progress.</t>
        </is>
      </c>
    </row>
  </sheetData>
  <mergeCells count="3">
    <mergeCell ref="A1:D1"/>
    <mergeCell ref="A16:D16"/>
    <mergeCell ref="A2:D2"/>
  </mergeCells>
  <conditionalFormatting sqref="D4:D20">
    <cfRule type="cellIs" priority="1" operator="equal" dxfId="0">
      <formula>"Finished"</formula>
    </cfRule>
    <cfRule type="cellIs" priority="2" operator="equal" dxfId="1">
      <formula>"In progress"</formula>
    </cfRule>
    <cfRule type="cellIs" priority="3" operator="equal" dxfId="2">
      <formula>"Not started"</formula>
    </cfRule>
  </conditionalFormatting>
  <dataValidations count="1">
    <dataValidation sqref="C4:C15" showDropDown="0" showInputMessage="0" showErrorMessage="0" allowBlank="0" errorTitle="Gia tri khong hop le" error="Progress phai nam trong khoang 0% - 100%." type="decimal" operator="between">
      <formula1>0</formula1>
      <formula2>1</formula2>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D25"/>
  <sheetViews>
    <sheetView workbookViewId="0">
      <pane ySplit="3" topLeftCell="A4" activePane="bottomLeft" state="frozen"/>
      <selection pane="bottomLeft" activeCell="A1" sqref="A1"/>
    </sheetView>
  </sheetViews>
  <sheetFormatPr baseColWidth="8" defaultRowHeight="15"/>
  <cols>
    <col width="6" customWidth="1" min="1" max="1"/>
    <col width="62" customWidth="1" min="2" max="2"/>
    <col width="12" customWidth="1" min="3" max="3"/>
    <col width="15" customWidth="1" min="4" max="4"/>
  </cols>
  <sheetData>
    <row r="1" ht="26" customHeight="1">
      <c r="A1" s="1" t="inlineStr">
        <is>
          <t>System Resources</t>
        </is>
      </c>
    </row>
    <row r="2">
      <c r="A2" s="2" t="inlineStr">
        <is>
          <t>Nguồn: src/resources</t>
        </is>
      </c>
    </row>
    <row r="3" ht="20" customHeight="1">
      <c r="A3" s="3" t="inlineStr">
        <is>
          <t>No</t>
        </is>
      </c>
      <c r="B3" s="3" t="inlineStr">
        <is>
          <t>Feature Name</t>
        </is>
      </c>
      <c r="C3" s="3" t="inlineStr">
        <is>
          <t>Progress</t>
        </is>
      </c>
      <c r="D3" s="3" t="inlineStr">
        <is>
          <t>isDone</t>
        </is>
      </c>
    </row>
    <row r="4">
      <c r="A4" s="4" t="n">
        <v>1</v>
      </c>
      <c r="B4" s="29" t="inlineStr">
        <is>
          <t>Tạo tài nguyên hệ thống</t>
        </is>
      </c>
      <c r="C4" s="6" t="n">
        <v>1</v>
      </c>
      <c r="D4" s="4">
        <f>IF(C4&gt;=1,"Finished",IF(C4&lt;=0,"Not started","In progress"))</f>
        <v/>
      </c>
    </row>
    <row r="5">
      <c r="A5" s="4" t="n">
        <v>2</v>
      </c>
      <c r="B5" s="29" t="inlineStr">
        <is>
          <t>Danh sách tài nguyên</t>
        </is>
      </c>
      <c r="C5" s="6" t="n">
        <v>1</v>
      </c>
      <c r="D5" s="4">
        <f>IF(C5&gt;=1,"Finished",IF(C5&lt;=0,"Not started","In progress"))</f>
        <v/>
      </c>
    </row>
    <row r="6">
      <c r="A6" s="4" t="n">
        <v>3</v>
      </c>
      <c r="B6" s="29" t="inlineStr">
        <is>
          <t>Chi tiết tài nguyên</t>
        </is>
      </c>
      <c r="C6" s="6" t="n">
        <v>1</v>
      </c>
      <c r="D6" s="4">
        <f>IF(C6&gt;=1,"Finished",IF(C6&lt;=0,"Not started","In progress"))</f>
        <v/>
      </c>
    </row>
    <row r="7">
      <c r="A7" s="4" t="n">
        <v>4</v>
      </c>
      <c r="B7" s="29" t="inlineStr">
        <is>
          <t>Cập nhật tài nguyên</t>
        </is>
      </c>
      <c r="C7" s="6" t="n">
        <v>1</v>
      </c>
      <c r="D7" s="4">
        <f>IF(C7&gt;=1,"Finished",IF(C7&lt;=0,"Not started","In progress"))</f>
        <v/>
      </c>
    </row>
    <row r="8">
      <c r="A8" s="4" t="n">
        <v>5</v>
      </c>
      <c r="B8" s="29" t="inlineStr">
        <is>
          <t>Xoá mềm tài nguyên</t>
        </is>
      </c>
      <c r="C8" s="6" t="n">
        <v>1</v>
      </c>
      <c r="D8" s="4">
        <f>IF(C8&gt;=1,"Finished",IF(C8&lt;=0,"Not started","In progress"))</f>
        <v/>
      </c>
    </row>
    <row r="9">
      <c r="A9" s="4" t="n">
        <v>6</v>
      </c>
      <c r="B9" s="29" t="inlineStr">
        <is>
          <t>Danh sách rút gọn (available)</t>
        </is>
      </c>
      <c r="C9" s="6" t="n">
        <v>1</v>
      </c>
      <c r="D9" s="4">
        <f>IF(C9&gt;=1,"Finished",IF(C9&lt;=0,"Not started","In progress"))</f>
        <v/>
      </c>
    </row>
    <row r="10">
      <c r="A10" s="4" t="n">
        <v>7</v>
      </c>
      <c r="B10" s="29" t="inlineStr">
        <is>
          <t>Ma trận phân quyền (resource x action)</t>
        </is>
      </c>
      <c r="C10" s="6" t="n">
        <v>1</v>
      </c>
      <c r="D10" s="4">
        <f>IF(C10&gt;=1,"Finished",IF(C10&lt;=0,"Not started","In progress"))</f>
        <v/>
      </c>
    </row>
    <row r="11">
      <c r="A11" s="4" t="n">
        <v>8</v>
      </c>
      <c r="B11" s="29" t="inlineStr">
        <is>
          <t>Thùng rác tài nguyên</t>
        </is>
      </c>
      <c r="C11" s="6" t="n">
        <v>1</v>
      </c>
      <c r="D11" s="4">
        <f>IF(C11&gt;=1,"Finished",IF(C11&lt;=0,"Not started","In progress"))</f>
        <v/>
      </c>
    </row>
    <row r="12">
      <c r="A12" s="4" t="n">
        <v>9</v>
      </c>
      <c r="B12" s="29" t="inlineStr">
        <is>
          <t>Bật/tắt trạng thái tài nguyên</t>
        </is>
      </c>
      <c r="C12" s="6" t="n">
        <v>1</v>
      </c>
      <c r="D12" s="4">
        <f>IF(C12&gt;=1,"Finished",IF(C12&lt;=0,"Not started","In progress"))</f>
        <v/>
      </c>
    </row>
    <row r="13">
      <c r="A13" s="4" t="n">
        <v>10</v>
      </c>
      <c r="B13" s="29" t="inlineStr">
        <is>
          <t>Khôi phục tài nguyên</t>
        </is>
      </c>
      <c r="C13" s="6" t="n">
        <v>1</v>
      </c>
      <c r="D13" s="4">
        <f>IF(C13&gt;=1,"Finished",IF(C13&lt;=0,"Not started","In progress"))</f>
        <v/>
      </c>
    </row>
    <row r="14">
      <c r="A14" s="4" t="n">
        <v>11</v>
      </c>
      <c r="B14" s="29" t="inlineStr">
        <is>
          <t>Cron dọn thùng rác (02:00 hằng ngày)</t>
        </is>
      </c>
      <c r="C14" s="6" t="n">
        <v>1</v>
      </c>
      <c r="D14" s="4">
        <f>IF(C14&gt;=1,"Finished",IF(C14&lt;=0,"Not started","In progress"))</f>
        <v/>
      </c>
    </row>
    <row r="15">
      <c r="A15" s="32" t="inlineStr">
        <is>
          <t>Không tính vào Progress — Unit test &amp; Tối ưu hoá tương lai</t>
        </is>
      </c>
      <c r="B15" s="33" t="n"/>
      <c r="C15" s="33" t="n"/>
      <c r="D15" s="33" t="n"/>
    </row>
    <row r="16">
      <c r="A16" s="4" t="n">
        <v>12</v>
      </c>
      <c r="B16" s="29" t="inlineStr">
        <is>
          <t>Unit test (system-resources.service + controller)</t>
        </is>
      </c>
      <c r="C16" s="6" t="n">
        <v>1</v>
      </c>
      <c r="D16" s="4">
        <f>IF(C16&gt;=1,"Finished",IF(C16&lt;=0,"Not started","In progress"))</f>
        <v/>
      </c>
    </row>
    <row r="17">
      <c r="A17" s="34" t="n">
        <v>13</v>
      </c>
      <c r="B17" s="35" t="inlineStr">
        <is>
          <t>Tối ưu Index CSDL: Tránh Sequential Scan để giảm triệt để Disk I/O</t>
        </is>
      </c>
      <c r="C17" s="36" t="n"/>
      <c r="D17" s="34" t="inlineStr">
        <is>
          <t>In progress</t>
        </is>
      </c>
    </row>
    <row r="18">
      <c r="A18" s="34" t="n">
        <v>14</v>
      </c>
      <c r="B18" s="35" t="inlineStr">
        <is>
          <t>Tối ưu câu lệnh truy vấn: Triệt tiêu lỗi N+1 Query bằng JOIN hoặc batching</t>
        </is>
      </c>
      <c r="C18" s="36" t="n"/>
      <c r="D18" s="34" t="inlineStr">
        <is>
          <t>In progress</t>
        </is>
      </c>
    </row>
    <row r="19">
      <c r="A19" s="34" t="n">
        <v>15</v>
      </c>
      <c r="B19" s="35" t="inlineStr">
        <is>
          <t>Tối ưu Payload RESTful: Chỉ truy vấn các trường cần thiết, tránh payload chứa tất cả thông tin</t>
        </is>
      </c>
      <c r="C19" s="36" t="n"/>
      <c r="D19" s="34" t="inlineStr">
        <is>
          <t>In progress</t>
        </is>
      </c>
    </row>
    <row r="21" ht="30" customHeight="1">
      <c r="A21" s="7" t="inlineStr"/>
      <c r="B21" s="37" t="inlineStr">
        <is>
          <t>Tổng kết module (chỉ tính các feature phía trên)</t>
        </is>
      </c>
      <c r="C21" s="38">
        <f>AVERAGE(C4:C14)</f>
        <v/>
      </c>
      <c r="D21" s="39">
        <f>COUNTIF(D4:D14,"Finished")&amp;"/"&amp;COUNTA(D4:D14)&amp;" finished"</f>
        <v/>
      </c>
    </row>
    <row r="23">
      <c r="B23" s="2" t="inlineStr">
        <is>
          <t>Cách dùng: chỉ sửa cột C (Progress, 0%–100%). Cột D tự tính.</t>
        </is>
      </c>
    </row>
    <row r="24">
      <c r="B24" s="2" t="inlineStr">
        <is>
          <t>Ô tô vàng = chưa hoàn thiện; di chuột vào tên feature để xem ghi chú kỹ thuật.</t>
        </is>
      </c>
    </row>
    <row r="25">
      <c r="B25" s="2" t="inlineStr">
        <is>
          <t>Unit test và hạng mục tối ưu (nền xám) nằm ngoài vùng tổng kết, không ảnh hưởng Progress.</t>
        </is>
      </c>
    </row>
  </sheetData>
  <mergeCells count="3">
    <mergeCell ref="A1:D1"/>
    <mergeCell ref="A2:D2"/>
    <mergeCell ref="A15:D15"/>
  </mergeCells>
  <conditionalFormatting sqref="D4:D19">
    <cfRule type="cellIs" priority="1" operator="equal" dxfId="0">
      <formula>"Finished"</formula>
    </cfRule>
    <cfRule type="cellIs" priority="2" operator="equal" dxfId="1">
      <formula>"In progress"</formula>
    </cfRule>
    <cfRule type="cellIs" priority="3" operator="equal" dxfId="2">
      <formula>"Not started"</formula>
    </cfRule>
  </conditionalFormatting>
  <dataValidations count="1">
    <dataValidation sqref="C4:C14" showDropDown="0" showInputMessage="0" showErrorMessage="0" allowBlank="0" errorTitle="Gia tri khong hop le" error="Progress phai nam trong khoang 0% - 100%." type="decimal" operator="between">
      <formula1>0</formula1>
      <formula2>1</formula2>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D22"/>
  <sheetViews>
    <sheetView workbookViewId="0">
      <pane ySplit="3" topLeftCell="A4" activePane="bottomLeft" state="frozen"/>
      <selection pane="bottomLeft" activeCell="A1" sqref="A1"/>
    </sheetView>
  </sheetViews>
  <sheetFormatPr baseColWidth="8" defaultRowHeight="15"/>
  <cols>
    <col width="6" customWidth="1" min="1" max="1"/>
    <col width="62" customWidth="1" min="2" max="2"/>
    <col width="12" customWidth="1" min="3" max="3"/>
    <col width="15" customWidth="1" min="4" max="4"/>
  </cols>
  <sheetData>
    <row r="1" ht="26" customHeight="1">
      <c r="A1" s="1" t="inlineStr">
        <is>
          <t>Departments</t>
        </is>
      </c>
    </row>
    <row r="2">
      <c r="A2" s="2" t="inlineStr">
        <is>
          <t>Nguồn: src/departments</t>
        </is>
      </c>
    </row>
    <row r="3" ht="20" customHeight="1">
      <c r="A3" s="3" t="inlineStr">
        <is>
          <t>No</t>
        </is>
      </c>
      <c r="B3" s="3" t="inlineStr">
        <is>
          <t>Feature Name</t>
        </is>
      </c>
      <c r="C3" s="3" t="inlineStr">
        <is>
          <t>Progress</t>
        </is>
      </c>
      <c r="D3" s="3" t="inlineStr">
        <is>
          <t>isDone</t>
        </is>
      </c>
    </row>
    <row r="4">
      <c r="A4" s="4" t="n">
        <v>1</v>
      </c>
      <c r="B4" s="29" t="inlineStr">
        <is>
          <t>Tạo phòng ban</t>
        </is>
      </c>
      <c r="C4" s="6" t="n">
        <v>1</v>
      </c>
      <c r="D4" s="4">
        <f>IF(C4&gt;=1,"Finished",IF(C4&lt;=0,"Not started","In progress"))</f>
        <v/>
      </c>
    </row>
    <row r="5">
      <c r="A5" s="4" t="n">
        <v>2</v>
      </c>
      <c r="B5" s="29" t="inlineStr">
        <is>
          <t>Danh sách phòng ban (lọc, phân trang)</t>
        </is>
      </c>
      <c r="C5" s="6" t="n">
        <v>1</v>
      </c>
      <c r="D5" s="4">
        <f>IF(C5&gt;=1,"Finished",IF(C5&lt;=0,"Not started","In progress"))</f>
        <v/>
      </c>
    </row>
    <row r="6">
      <c r="A6" s="4" t="n">
        <v>3</v>
      </c>
      <c r="B6" s="29" t="inlineStr">
        <is>
          <t>Tra cứu theo id hoặc slug</t>
        </is>
      </c>
      <c r="C6" s="6" t="n">
        <v>1</v>
      </c>
      <c r="D6" s="4">
        <f>IF(C6&gt;=1,"Finished",IF(C6&lt;=0,"Not started","In progress"))</f>
        <v/>
      </c>
    </row>
    <row r="7">
      <c r="A7" s="4" t="n">
        <v>4</v>
      </c>
      <c r="B7" s="29" t="inlineStr">
        <is>
          <t>Cây phân cấp phòng ban (tree)</t>
        </is>
      </c>
      <c r="C7" s="6" t="n">
        <v>1</v>
      </c>
      <c r="D7" s="4">
        <f>IF(C7&gt;=1,"Finished",IF(C7&lt;=0,"Not started","In progress"))</f>
        <v/>
      </c>
    </row>
    <row r="8">
      <c r="A8" s="4" t="n">
        <v>5</v>
      </c>
      <c r="B8" s="29" t="inlineStr">
        <is>
          <t>Cập nhật phòng ban</t>
        </is>
      </c>
      <c r="C8" s="6" t="n">
        <v>1</v>
      </c>
      <c r="D8" s="4">
        <f>IF(C8&gt;=1,"Finished",IF(C8&lt;=0,"Not started","In progress"))</f>
        <v/>
      </c>
    </row>
    <row r="9">
      <c r="A9" s="4" t="n">
        <v>6</v>
      </c>
      <c r="B9" s="29" t="inlineStr">
        <is>
          <t>Gán trưởng phòng ban</t>
        </is>
      </c>
      <c r="C9" s="6" t="n">
        <v>1</v>
      </c>
      <c r="D9" s="4">
        <f>IF(C9&gt;=1,"Finished",IF(C9&lt;=0,"Not started","In progress"))</f>
        <v/>
      </c>
    </row>
    <row r="10">
      <c r="A10" s="4" t="n">
        <v>7</v>
      </c>
      <c r="B10" s="29" t="inlineStr">
        <is>
          <t>Xoá mềm phòng ban</t>
        </is>
      </c>
      <c r="C10" s="6" t="n">
        <v>1</v>
      </c>
      <c r="D10" s="4">
        <f>IF(C10&gt;=1,"Finished",IF(C10&lt;=0,"Not started","In progress"))</f>
        <v/>
      </c>
    </row>
    <row r="11">
      <c r="A11" s="4" t="n">
        <v>8</v>
      </c>
      <c r="B11" s="29" t="inlineStr">
        <is>
          <t>Sinh slug tự động</t>
        </is>
      </c>
      <c r="C11" s="6" t="n">
        <v>1</v>
      </c>
      <c r="D11" s="4">
        <f>IF(C11&gt;=1,"Finished",IF(C11&lt;=0,"Not started","In progress"))</f>
        <v/>
      </c>
    </row>
    <row r="12">
      <c r="A12" s="32" t="inlineStr">
        <is>
          <t>Không tính vào Progress — Unit test &amp; Tối ưu hoá tương lai</t>
        </is>
      </c>
      <c r="B12" s="33" t="n"/>
      <c r="C12" s="33" t="n"/>
      <c r="D12" s="33" t="n"/>
    </row>
    <row r="13">
      <c r="A13" s="4" t="n">
        <v>9</v>
      </c>
      <c r="B13" s="30" t="inlineStr">
        <is>
          <t>Unit test</t>
        </is>
      </c>
      <c r="C13" s="31" t="n">
        <v>0</v>
      </c>
      <c r="D13" s="4">
        <f>IF(C13&gt;=1,"Finished",IF(C13&lt;=0,"Not started","In progress"))</f>
        <v/>
      </c>
    </row>
    <row r="14">
      <c r="A14" s="34" t="n">
        <v>10</v>
      </c>
      <c r="B14" s="35" t="inlineStr">
        <is>
          <t>Tối ưu Index CSDL: Tránh Sequential Scan để giảm triệt để Disk I/O</t>
        </is>
      </c>
      <c r="C14" s="36" t="n"/>
      <c r="D14" s="34" t="inlineStr">
        <is>
          <t>In progress</t>
        </is>
      </c>
    </row>
    <row r="15">
      <c r="A15" s="34" t="n">
        <v>11</v>
      </c>
      <c r="B15" s="35" t="inlineStr">
        <is>
          <t>Tối ưu câu lệnh truy vấn: Triệt tiêu lỗi N+1 Query bằng JOIN hoặc batching</t>
        </is>
      </c>
      <c r="C15" s="36" t="n"/>
      <c r="D15" s="34" t="inlineStr">
        <is>
          <t>In progress</t>
        </is>
      </c>
    </row>
    <row r="16">
      <c r="A16" s="34" t="n">
        <v>12</v>
      </c>
      <c r="B16" s="35" t="inlineStr">
        <is>
          <t>Tối ưu Payload RESTful: Chỉ truy vấn các trường cần thiết, tránh payload chứa tất cả thông tin</t>
        </is>
      </c>
      <c r="C16" s="36" t="n"/>
      <c r="D16" s="34" t="inlineStr">
        <is>
          <t>In progress</t>
        </is>
      </c>
    </row>
    <row r="18" ht="30" customHeight="1">
      <c r="A18" s="7" t="inlineStr"/>
      <c r="B18" s="37" t="inlineStr">
        <is>
          <t>Tổng kết module (chỉ tính các feature phía trên)</t>
        </is>
      </c>
      <c r="C18" s="38">
        <f>AVERAGE(C4:C11)</f>
        <v/>
      </c>
      <c r="D18" s="39">
        <f>COUNTIF(D4:D11,"Finished")&amp;"/"&amp;COUNTA(D4:D11)&amp;" finished"</f>
        <v/>
      </c>
    </row>
    <row r="20">
      <c r="B20" s="2" t="inlineStr">
        <is>
          <t>Cách dùng: chỉ sửa cột C (Progress, 0%–100%). Cột D tự tính.</t>
        </is>
      </c>
    </row>
    <row r="21">
      <c r="B21" s="2" t="inlineStr">
        <is>
          <t>Ô tô vàng = chưa hoàn thiện; di chuột vào tên feature để xem ghi chú kỹ thuật.</t>
        </is>
      </c>
    </row>
    <row r="22">
      <c r="B22" s="2" t="inlineStr">
        <is>
          <t>Unit test và hạng mục tối ưu (nền xám) nằm ngoài vùng tổng kết, không ảnh hưởng Progress.</t>
        </is>
      </c>
    </row>
  </sheetData>
  <mergeCells count="3">
    <mergeCell ref="A1:D1"/>
    <mergeCell ref="A12:D12"/>
    <mergeCell ref="A2:D2"/>
  </mergeCells>
  <conditionalFormatting sqref="D4:D16">
    <cfRule type="cellIs" priority="1" operator="equal" dxfId="0">
      <formula>"Finished"</formula>
    </cfRule>
    <cfRule type="cellIs" priority="2" operator="equal" dxfId="1">
      <formula>"In progress"</formula>
    </cfRule>
    <cfRule type="cellIs" priority="3" operator="equal" dxfId="2">
      <formula>"Not started"</formula>
    </cfRule>
  </conditionalFormatting>
  <dataValidations count="1">
    <dataValidation sqref="C4:C11" showDropDown="0" showInputMessage="0" showErrorMessage="0" allowBlank="0" errorTitle="Gia tri khong hop le" error="Progress phai nam trong khoang 0% - 100%." type="decimal" operator="between">
      <formula1>0</formula1>
      <formula2>1</formula2>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D22"/>
  <sheetViews>
    <sheetView workbookViewId="0">
      <pane ySplit="3" topLeftCell="A4" activePane="bottomLeft" state="frozen"/>
      <selection pane="bottomLeft" activeCell="A1" sqref="A1"/>
    </sheetView>
  </sheetViews>
  <sheetFormatPr baseColWidth="8" defaultRowHeight="15"/>
  <cols>
    <col width="6" customWidth="1" min="1" max="1"/>
    <col width="62" customWidth="1" min="2" max="2"/>
    <col width="12" customWidth="1" min="3" max="3"/>
    <col width="15" customWidth="1" min="4" max="4"/>
  </cols>
  <sheetData>
    <row r="1" ht="26" customHeight="1">
      <c r="A1" s="1" t="inlineStr">
        <is>
          <t>Employee Profiles</t>
        </is>
      </c>
    </row>
    <row r="2">
      <c r="A2" s="2" t="inlineStr">
        <is>
          <t>Nguồn: src/employee-profiles</t>
        </is>
      </c>
    </row>
    <row r="3" ht="20" customHeight="1">
      <c r="A3" s="3" t="inlineStr">
        <is>
          <t>No</t>
        </is>
      </c>
      <c r="B3" s="3" t="inlineStr">
        <is>
          <t>Feature Name</t>
        </is>
      </c>
      <c r="C3" s="3" t="inlineStr">
        <is>
          <t>Progress</t>
        </is>
      </c>
      <c r="D3" s="3" t="inlineStr">
        <is>
          <t>isDone</t>
        </is>
      </c>
    </row>
    <row r="4">
      <c r="A4" s="4" t="n">
        <v>1</v>
      </c>
      <c r="B4" s="29" t="inlineStr">
        <is>
          <t>Danh sách hồ sơ nhân viên (lọc)</t>
        </is>
      </c>
      <c r="C4" s="6" t="n">
        <v>1</v>
      </c>
      <c r="D4" s="4">
        <f>IF(C4&gt;=1,"Finished",IF(C4&lt;=0,"Not started","In progress"))</f>
        <v/>
      </c>
    </row>
    <row r="5">
      <c r="A5" s="4" t="n">
        <v>2</v>
      </c>
      <c r="B5" s="29" t="inlineStr">
        <is>
          <t>Tra cứu hồ sơ theo mã nhân viên</t>
        </is>
      </c>
      <c r="C5" s="6" t="n">
        <v>1</v>
      </c>
      <c r="D5" s="4">
        <f>IF(C5&gt;=1,"Finished",IF(C5&lt;=0,"Not started","In progress"))</f>
        <v/>
      </c>
    </row>
    <row r="6">
      <c r="A6" s="4" t="n">
        <v>3</v>
      </c>
      <c r="B6" s="29" t="inlineStr">
        <is>
          <t>Cập nhật hồ sơ nhân viên</t>
        </is>
      </c>
      <c r="C6" s="6" t="n">
        <v>1</v>
      </c>
      <c r="D6" s="4">
        <f>IF(C6&gt;=1,"Finished",IF(C6&lt;=0,"Not started","In progress"))</f>
        <v/>
      </c>
    </row>
    <row r="7">
      <c r="A7" s="4" t="n">
        <v>4</v>
      </c>
      <c r="B7" s="29" t="inlineStr">
        <is>
          <t>Truy xuất hồ sơ có bảo vệ (xác thực lại)</t>
        </is>
      </c>
      <c r="C7" s="6" t="n">
        <v>1</v>
      </c>
      <c r="D7" s="4">
        <f>IF(C7&gt;=1,"Finished",IF(C7&lt;=0,"Not started","In progress"))</f>
        <v/>
      </c>
    </row>
    <row r="8">
      <c r="A8" s="4" t="n">
        <v>5</v>
      </c>
      <c r="B8" s="29" t="inlineStr">
        <is>
          <t>Liên kết hồ sơ với tài khoản qua luồng claim</t>
        </is>
      </c>
      <c r="C8" s="6" t="n">
        <v>1</v>
      </c>
      <c r="D8" s="4">
        <f>IF(C8&gt;=1,"Finished",IF(C8&lt;=0,"Not started","In progress"))</f>
        <v/>
      </c>
    </row>
    <row r="9">
      <c r="A9" s="4" t="n">
        <v>6</v>
      </c>
      <c r="B9" s="29" t="inlineStr">
        <is>
          <t>Phân bổ phòng ban / vai trò cho nhân viên</t>
        </is>
      </c>
      <c r="C9" s="6" t="n">
        <v>1</v>
      </c>
      <c r="D9" s="4">
        <f>IF(C9&gt;=1,"Finished",IF(C9&lt;=0,"Not started","In progress"))</f>
        <v/>
      </c>
    </row>
    <row r="10">
      <c r="A10" s="4" t="n">
        <v>7</v>
      </c>
      <c r="B10" s="30" t="inlineStr">
        <is>
          <t>Trạng thái người lao động (thử việc / chính thức / nghỉ việc)</t>
        </is>
      </c>
      <c r="C10" s="31" t="n">
        <v>0.3</v>
      </c>
      <c r="D10" s="4">
        <f>IF(C10&gt;=1,"Finished",IF(C10&lt;=0,"Not started","In progress"))</f>
        <v/>
      </c>
    </row>
    <row r="11">
      <c r="A11" s="4" t="n">
        <v>8</v>
      </c>
      <c r="B11" s="30" t="inlineStr">
        <is>
          <t>Quản lý hợp đồng lao động</t>
        </is>
      </c>
      <c r="C11" s="31" t="n">
        <v>0</v>
      </c>
      <c r="D11" s="4">
        <f>IF(C11&gt;=1,"Finished",IF(C11&lt;=0,"Not started","In progress"))</f>
        <v/>
      </c>
    </row>
    <row r="12">
      <c r="A12" s="32" t="inlineStr">
        <is>
          <t>Không tính vào Progress — Unit test &amp; Tối ưu hoá tương lai</t>
        </is>
      </c>
      <c r="B12" s="33" t="n"/>
      <c r="C12" s="33" t="n"/>
      <c r="D12" s="33" t="n"/>
    </row>
    <row r="13">
      <c r="A13" s="4" t="n">
        <v>9</v>
      </c>
      <c r="B13" s="30" t="inlineStr">
        <is>
          <t>Unit test</t>
        </is>
      </c>
      <c r="C13" s="31" t="n">
        <v>0</v>
      </c>
      <c r="D13" s="4">
        <f>IF(C13&gt;=1,"Finished",IF(C13&lt;=0,"Not started","In progress"))</f>
        <v/>
      </c>
    </row>
    <row r="14">
      <c r="A14" s="34" t="n">
        <v>10</v>
      </c>
      <c r="B14" s="35" t="inlineStr">
        <is>
          <t>Tối ưu Index CSDL: Tránh Sequential Scan để giảm triệt để Disk I/O</t>
        </is>
      </c>
      <c r="C14" s="36" t="n"/>
      <c r="D14" s="34" t="inlineStr">
        <is>
          <t>In progress</t>
        </is>
      </c>
    </row>
    <row r="15">
      <c r="A15" s="34" t="n">
        <v>11</v>
      </c>
      <c r="B15" s="35" t="inlineStr">
        <is>
          <t>Tối ưu câu lệnh truy vấn: Triệt tiêu lỗi N+1 Query bằng JOIN hoặc batching</t>
        </is>
      </c>
      <c r="C15" s="36" t="n"/>
      <c r="D15" s="34" t="inlineStr">
        <is>
          <t>In progress</t>
        </is>
      </c>
    </row>
    <row r="16">
      <c r="A16" s="34" t="n">
        <v>12</v>
      </c>
      <c r="B16" s="35" t="inlineStr">
        <is>
          <t>Tối ưu Payload RESTful: Chỉ truy vấn các trường cần thiết, tránh payload chứa tất cả thông tin</t>
        </is>
      </c>
      <c r="C16" s="36" t="n"/>
      <c r="D16" s="34" t="inlineStr">
        <is>
          <t>In progress</t>
        </is>
      </c>
    </row>
    <row r="18" ht="30" customHeight="1">
      <c r="A18" s="7" t="inlineStr"/>
      <c r="B18" s="37" t="inlineStr">
        <is>
          <t>Tổng kết module (chỉ tính các feature phía trên)</t>
        </is>
      </c>
      <c r="C18" s="38">
        <f>AVERAGE(C4:C11)</f>
        <v/>
      </c>
      <c r="D18" s="39">
        <f>COUNTIF(D4:D11,"Finished")&amp;"/"&amp;COUNTA(D4:D11)&amp;" finished"</f>
        <v/>
      </c>
    </row>
    <row r="20">
      <c r="B20" s="2" t="inlineStr">
        <is>
          <t>Cách dùng: chỉ sửa cột C (Progress, 0%–100%). Cột D tự tính.</t>
        </is>
      </c>
    </row>
    <row r="21">
      <c r="B21" s="2" t="inlineStr">
        <is>
          <t>Ô tô vàng = chưa hoàn thiện; di chuột vào tên feature để xem ghi chú kỹ thuật.</t>
        </is>
      </c>
    </row>
    <row r="22">
      <c r="B22" s="2" t="inlineStr">
        <is>
          <t>Unit test và hạng mục tối ưu (nền xám) nằm ngoài vùng tổng kết, không ảnh hưởng Progress.</t>
        </is>
      </c>
    </row>
  </sheetData>
  <mergeCells count="3">
    <mergeCell ref="A1:D1"/>
    <mergeCell ref="A12:D12"/>
    <mergeCell ref="A2:D2"/>
  </mergeCells>
  <conditionalFormatting sqref="D4:D16">
    <cfRule type="cellIs" priority="1" operator="equal" dxfId="0">
      <formula>"Finished"</formula>
    </cfRule>
    <cfRule type="cellIs" priority="2" operator="equal" dxfId="1">
      <formula>"In progress"</formula>
    </cfRule>
    <cfRule type="cellIs" priority="3" operator="equal" dxfId="2">
      <formula>"Not started"</formula>
    </cfRule>
  </conditionalFormatting>
  <dataValidations count="1">
    <dataValidation sqref="C4:C11" showDropDown="0" showInputMessage="0" showErrorMessage="0" allowBlank="0" errorTitle="Gia tri khong hop le" error="Progress phai nam trong khoang 0% - 100%." type="decimal" operator="between">
      <formula1>0</formula1>
      <formula2>1</formula2>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D19"/>
  <sheetViews>
    <sheetView workbookViewId="0">
      <pane ySplit="3" topLeftCell="A4" activePane="bottomLeft" state="frozen"/>
      <selection pane="bottomLeft" activeCell="A1" sqref="A1"/>
    </sheetView>
  </sheetViews>
  <sheetFormatPr baseColWidth="8" defaultRowHeight="15"/>
  <cols>
    <col width="6" customWidth="1" min="1" max="1"/>
    <col width="62" customWidth="1" min="2" max="2"/>
    <col width="12" customWidth="1" min="3" max="3"/>
    <col width="15" customWidth="1" min="4" max="4"/>
  </cols>
  <sheetData>
    <row r="1" ht="26" customHeight="1">
      <c r="A1" s="1" t="inlineStr">
        <is>
          <t>Identity (CCCD)</t>
        </is>
      </c>
    </row>
    <row r="2">
      <c r="A2" s="2" t="inlineStr">
        <is>
          <t>Nguồn: src/identity</t>
        </is>
      </c>
    </row>
    <row r="3" ht="20" customHeight="1">
      <c r="A3" s="3" t="inlineStr">
        <is>
          <t>No</t>
        </is>
      </c>
      <c r="B3" s="3" t="inlineStr">
        <is>
          <t>Feature Name</t>
        </is>
      </c>
      <c r="C3" s="3" t="inlineStr">
        <is>
          <t>Progress</t>
        </is>
      </c>
      <c r="D3" s="3" t="inlineStr">
        <is>
          <t>isDone</t>
        </is>
      </c>
    </row>
    <row r="4">
      <c r="A4" s="4" t="n">
        <v>1</v>
      </c>
      <c r="B4" s="29" t="inlineStr">
        <is>
          <t>Tạo bản ghi CCCD cho người dùng</t>
        </is>
      </c>
      <c r="C4" s="6" t="n">
        <v>1</v>
      </c>
      <c r="D4" s="4">
        <f>IF(C4&gt;=1,"Finished",IF(C4&lt;=0,"Not started","In progress"))</f>
        <v/>
      </c>
    </row>
    <row r="5">
      <c r="A5" s="4" t="n">
        <v>2</v>
      </c>
      <c r="B5" s="29" t="inlineStr">
        <is>
          <t>Cập nhật bản ghi CCCD</t>
        </is>
      </c>
      <c r="C5" s="6" t="n">
        <v>1</v>
      </c>
      <c r="D5" s="4">
        <f>IF(C5&gt;=1,"Finished",IF(C5&lt;=0,"Not started","In progress"))</f>
        <v/>
      </c>
    </row>
    <row r="6">
      <c r="A6" s="4" t="n">
        <v>3</v>
      </c>
      <c r="B6" s="29" t="inlineStr">
        <is>
          <t>Truy xuất CCCD có bảo vệ (xác thực lại)</t>
        </is>
      </c>
      <c r="C6" s="6" t="n">
        <v>1</v>
      </c>
      <c r="D6" s="4">
        <f>IF(C6&gt;=1,"Finished",IF(C6&lt;=0,"Not started","In progress"))</f>
        <v/>
      </c>
    </row>
    <row r="7">
      <c r="A7" s="4" t="n">
        <v>4</v>
      </c>
      <c r="B7" s="29" t="inlineStr">
        <is>
          <t>Phân tích mã QR CCCD</t>
        </is>
      </c>
      <c r="C7" s="6" t="n">
        <v>1</v>
      </c>
      <c r="D7" s="4">
        <f>IF(C7&gt;=1,"Finished",IF(C7&lt;=0,"Not started","In progress"))</f>
        <v/>
      </c>
    </row>
    <row r="8">
      <c r="A8" s="4" t="n">
        <v>5</v>
      </c>
      <c r="B8" s="29" t="inlineStr">
        <is>
          <t>Mã hoá dữ liệu định danh ở mức trường</t>
        </is>
      </c>
      <c r="C8" s="6" t="n">
        <v>1</v>
      </c>
      <c r="D8" s="4">
        <f>IF(C8&gt;=1,"Finished",IF(C8&lt;=0,"Not started","In progress"))</f>
        <v/>
      </c>
    </row>
    <row r="9">
      <c r="A9" s="32" t="inlineStr">
        <is>
          <t>Không tính vào Progress — Unit test &amp; Tối ưu hoá tương lai</t>
        </is>
      </c>
      <c r="B9" s="33" t="n"/>
      <c r="C9" s="33" t="n"/>
      <c r="D9" s="33" t="n"/>
    </row>
    <row r="10">
      <c r="A10" s="4" t="n">
        <v>6</v>
      </c>
      <c r="B10" s="30" t="inlineStr">
        <is>
          <t>Unit test</t>
        </is>
      </c>
      <c r="C10" s="31" t="n">
        <v>0</v>
      </c>
      <c r="D10" s="4">
        <f>IF(C10&gt;=1,"Finished",IF(C10&lt;=0,"Not started","In progress"))</f>
        <v/>
      </c>
    </row>
    <row r="11">
      <c r="A11" s="34" t="n">
        <v>7</v>
      </c>
      <c r="B11" s="35" t="inlineStr">
        <is>
          <t>Tối ưu Index CSDL: Tránh Sequential Scan để giảm triệt để Disk I/O</t>
        </is>
      </c>
      <c r="C11" s="36" t="n"/>
      <c r="D11" s="34" t="inlineStr">
        <is>
          <t>In progress</t>
        </is>
      </c>
    </row>
    <row r="12">
      <c r="A12" s="34" t="n">
        <v>8</v>
      </c>
      <c r="B12" s="35" t="inlineStr">
        <is>
          <t>Tối ưu câu lệnh truy vấn: Triệt tiêu lỗi N+1 Query bằng JOIN hoặc batching</t>
        </is>
      </c>
      <c r="C12" s="36" t="n"/>
      <c r="D12" s="34" t="inlineStr">
        <is>
          <t>In progress</t>
        </is>
      </c>
    </row>
    <row r="13">
      <c r="A13" s="34" t="n">
        <v>9</v>
      </c>
      <c r="B13" s="35" t="inlineStr">
        <is>
          <t>Tối ưu Payload RESTful: Chỉ truy vấn các trường cần thiết, tránh payload chứa tất cả thông tin</t>
        </is>
      </c>
      <c r="C13" s="36" t="n"/>
      <c r="D13" s="34" t="inlineStr">
        <is>
          <t>In progress</t>
        </is>
      </c>
    </row>
    <row r="15" ht="30" customHeight="1">
      <c r="A15" s="7" t="inlineStr"/>
      <c r="B15" s="37" t="inlineStr">
        <is>
          <t>Tổng kết module (chỉ tính các feature phía trên)</t>
        </is>
      </c>
      <c r="C15" s="38">
        <f>AVERAGE(C4:C8)</f>
        <v/>
      </c>
      <c r="D15" s="39">
        <f>COUNTIF(D4:D8,"Finished")&amp;"/"&amp;COUNTA(D4:D8)&amp;" finished"</f>
        <v/>
      </c>
    </row>
    <row r="17">
      <c r="B17" s="2" t="inlineStr">
        <is>
          <t>Cách dùng: chỉ sửa cột C (Progress, 0%–100%). Cột D tự tính.</t>
        </is>
      </c>
    </row>
    <row r="18">
      <c r="B18" s="2" t="inlineStr">
        <is>
          <t>Ô tô vàng = chưa hoàn thiện; di chuột vào tên feature để xem ghi chú kỹ thuật.</t>
        </is>
      </c>
    </row>
    <row r="19">
      <c r="B19" s="2" t="inlineStr">
        <is>
          <t>Unit test và hạng mục tối ưu (nền xám) nằm ngoài vùng tổng kết, không ảnh hưởng Progress.</t>
        </is>
      </c>
    </row>
  </sheetData>
  <mergeCells count="3">
    <mergeCell ref="A1:D1"/>
    <mergeCell ref="A9:D9"/>
    <mergeCell ref="A2:D2"/>
  </mergeCells>
  <conditionalFormatting sqref="D4:D13">
    <cfRule type="cellIs" priority="1" operator="equal" dxfId="0">
      <formula>"Finished"</formula>
    </cfRule>
    <cfRule type="cellIs" priority="2" operator="equal" dxfId="1">
      <formula>"In progress"</formula>
    </cfRule>
    <cfRule type="cellIs" priority="3" operator="equal" dxfId="2">
      <formula>"Not started"</formula>
    </cfRule>
  </conditionalFormatting>
  <dataValidations count="1">
    <dataValidation sqref="C4:C8" showDropDown="0" showInputMessage="0" showErrorMessage="0" allowBlank="0" errorTitle="Gia tri khong hop le" error="Progress phai nam trong khoang 0% - 100%." type="decimal" operator="between">
      <formula1>0</formula1>
      <formula2>1</formula2>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D16"/>
  <sheetViews>
    <sheetView workbookViewId="0">
      <pane ySplit="3" topLeftCell="A4" activePane="bottomLeft" state="frozen"/>
      <selection pane="bottomLeft" activeCell="A1" sqref="A1"/>
    </sheetView>
  </sheetViews>
  <sheetFormatPr baseColWidth="8" defaultRowHeight="15"/>
  <cols>
    <col width="6" customWidth="1" min="1" max="1"/>
    <col width="62" customWidth="1" min="2" max="2"/>
    <col width="12" customWidth="1" min="3" max="3"/>
    <col width="15" customWidth="1" min="4" max="4"/>
  </cols>
  <sheetData>
    <row r="1" ht="26" customHeight="1">
      <c r="A1" s="1" t="inlineStr">
        <is>
          <t>User Avatars</t>
        </is>
      </c>
    </row>
    <row r="2">
      <c r="A2" s="2" t="inlineStr">
        <is>
          <t>Nguồn: src/user-avatars</t>
        </is>
      </c>
    </row>
    <row r="3" ht="20" customHeight="1">
      <c r="A3" s="3" t="inlineStr">
        <is>
          <t>No</t>
        </is>
      </c>
      <c r="B3" s="3" t="inlineStr">
        <is>
          <t>Feature Name</t>
        </is>
      </c>
      <c r="C3" s="3" t="inlineStr">
        <is>
          <t>Progress</t>
        </is>
      </c>
      <c r="D3" s="3" t="inlineStr">
        <is>
          <t>isDone</t>
        </is>
      </c>
    </row>
    <row r="4">
      <c r="A4" s="4" t="n">
        <v>1</v>
      </c>
      <c r="B4" s="29" t="inlineStr">
        <is>
          <t>Cập nhật / thay ảnh đại diện</t>
        </is>
      </c>
      <c r="C4" s="6" t="n">
        <v>1</v>
      </c>
      <c r="D4" s="4">
        <f>IF(C4&gt;=1,"Finished",IF(C4&lt;=0,"Not started","In progress"))</f>
        <v/>
      </c>
    </row>
    <row r="5">
      <c r="A5" s="4" t="n">
        <v>2</v>
      </c>
      <c r="B5" s="29" t="inlineStr">
        <is>
          <t>Lưu lịch sử ảnh đại diện (isCurrent)</t>
        </is>
      </c>
      <c r="C5" s="6" t="n">
        <v>1</v>
      </c>
      <c r="D5" s="4">
        <f>IF(C5&gt;=1,"Finished",IF(C5&lt;=0,"Not started","In progress"))</f>
        <v/>
      </c>
    </row>
    <row r="6">
      <c r="A6" s="4" t="n">
        <v>3</v>
      </c>
      <c r="B6" s="29" t="inlineStr">
        <is>
          <t>Giới hạn tối đa 5 ảnh, tự xoá ảnh cũ</t>
        </is>
      </c>
      <c r="C6" s="6" t="n">
        <v>1</v>
      </c>
      <c r="D6" s="4">
        <f>IF(C6&gt;=1,"Finished",IF(C6&lt;=0,"Not started","In progress"))</f>
        <v/>
      </c>
    </row>
    <row r="7">
      <c r="A7" s="4" t="n">
        <v>4</v>
      </c>
      <c r="B7" s="29" t="inlineStr">
        <is>
          <t>Xoá cache user liên quan khi đổi ảnh</t>
        </is>
      </c>
      <c r="C7" s="6" t="n">
        <v>1</v>
      </c>
      <c r="D7" s="4">
        <f>IF(C7&gt;=1,"Finished",IF(C7&lt;=0,"Not started","In progress"))</f>
        <v/>
      </c>
    </row>
    <row r="8">
      <c r="A8" s="4" t="n">
        <v>5</v>
      </c>
      <c r="B8" s="30" t="inlineStr">
        <is>
          <t>Upload file ảnh trực tiếp lên storage</t>
        </is>
      </c>
      <c r="C8" s="31" t="n">
        <v>0</v>
      </c>
      <c r="D8" s="4">
        <f>IF(C8&gt;=1,"Finished",IF(C8&lt;=0,"Not started","In progress"))</f>
        <v/>
      </c>
    </row>
    <row r="9">
      <c r="A9" s="32" t="inlineStr">
        <is>
          <t>Không tính vào Progress — Unit test &amp; Tối ưu hoá tương lai</t>
        </is>
      </c>
      <c r="B9" s="33" t="n"/>
      <c r="C9" s="33" t="n"/>
      <c r="D9" s="33" t="n"/>
    </row>
    <row r="10">
      <c r="A10" s="4" t="n">
        <v>6</v>
      </c>
      <c r="B10" s="30" t="inlineStr">
        <is>
          <t>Unit test</t>
        </is>
      </c>
      <c r="C10" s="31" t="n">
        <v>0</v>
      </c>
      <c r="D10" s="4">
        <f>IF(C10&gt;=1,"Finished",IF(C10&lt;=0,"Not started","In progress"))</f>
        <v/>
      </c>
    </row>
    <row r="12" ht="30" customHeight="1">
      <c r="A12" s="7" t="inlineStr"/>
      <c r="B12" s="37" t="inlineStr">
        <is>
          <t>Tổng kết module (chỉ tính các feature phía trên)</t>
        </is>
      </c>
      <c r="C12" s="38">
        <f>AVERAGE(C4:C8)</f>
        <v/>
      </c>
      <c r="D12" s="39">
        <f>COUNTIF(D4:D8,"Finished")&amp;"/"&amp;COUNTA(D4:D8)&amp;" finished"</f>
        <v/>
      </c>
    </row>
    <row r="14">
      <c r="B14" s="2" t="inlineStr">
        <is>
          <t>Cách dùng: chỉ sửa cột C (Progress, 0%–100%). Cột D tự tính.</t>
        </is>
      </c>
    </row>
    <row r="15">
      <c r="B15" s="2" t="inlineStr">
        <is>
          <t>Ô tô vàng = chưa hoàn thiện; di chuột vào tên feature để xem ghi chú kỹ thuật.</t>
        </is>
      </c>
    </row>
    <row r="16">
      <c r="B16" s="2" t="inlineStr">
        <is>
          <t>Unit test và hạng mục tối ưu (nền xám) nằm ngoài vùng tổng kết, không ảnh hưởng Progress.</t>
        </is>
      </c>
    </row>
  </sheetData>
  <mergeCells count="3">
    <mergeCell ref="A1:D1"/>
    <mergeCell ref="A9:D9"/>
    <mergeCell ref="A2:D2"/>
  </mergeCells>
  <conditionalFormatting sqref="D4:D10">
    <cfRule type="cellIs" priority="1" operator="equal" dxfId="0">
      <formula>"Finished"</formula>
    </cfRule>
    <cfRule type="cellIs" priority="2" operator="equal" dxfId="1">
      <formula>"In progress"</formula>
    </cfRule>
    <cfRule type="cellIs" priority="3" operator="equal" dxfId="2">
      <formula>"Not started"</formula>
    </cfRule>
  </conditionalFormatting>
  <dataValidations count="1">
    <dataValidation sqref="C4:C8" showDropDown="0" showInputMessage="0" showErrorMessage="0" allowBlank="0" errorTitle="Gia tri khong hop le" error="Progress phai nam trong khoang 0% - 100%." type="decimal" operator="between">
      <formula1>0</formula1>
      <formula2>1</formula2>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D37"/>
  <sheetViews>
    <sheetView workbookViewId="0">
      <pane ySplit="3" topLeftCell="A4" activePane="bottomLeft" state="frozen"/>
      <selection pane="bottomLeft" activeCell="A1" sqref="A1"/>
    </sheetView>
  </sheetViews>
  <sheetFormatPr baseColWidth="8" defaultRowHeight="15"/>
  <cols>
    <col width="6" customWidth="1" min="1" max="1"/>
    <col width="62" customWidth="1" min="2" max="2"/>
    <col width="12" customWidth="1" min="3" max="3"/>
    <col width="15" customWidth="1" min="4" max="4"/>
  </cols>
  <sheetData>
    <row r="1" ht="26" customHeight="1">
      <c r="A1" s="1" t="inlineStr">
        <is>
          <t>Notifications</t>
        </is>
      </c>
    </row>
    <row r="2">
      <c r="A2" s="2" t="inlineStr">
        <is>
          <t>Nguồn: src/notifications</t>
        </is>
      </c>
    </row>
    <row r="3" ht="20" customHeight="1">
      <c r="A3" s="3" t="inlineStr">
        <is>
          <t>No</t>
        </is>
      </c>
      <c r="B3" s="3" t="inlineStr">
        <is>
          <t>Feature Name</t>
        </is>
      </c>
      <c r="C3" s="3" t="inlineStr">
        <is>
          <t>Progress</t>
        </is>
      </c>
      <c r="D3" s="3" t="inlineStr">
        <is>
          <t>isDone</t>
        </is>
      </c>
    </row>
    <row r="4">
      <c r="A4" s="4" t="n">
        <v>1</v>
      </c>
      <c r="B4" s="29" t="inlineStr">
        <is>
          <t>Lấy thông báo của tôi</t>
        </is>
      </c>
      <c r="C4" s="6" t="n">
        <v>1</v>
      </c>
      <c r="D4" s="4">
        <f>IF(C4&gt;=1,"Finished",IF(C4&lt;=0,"Not started","In progress"))</f>
        <v/>
      </c>
    </row>
    <row r="5">
      <c r="A5" s="4" t="n">
        <v>2</v>
      </c>
      <c r="B5" s="29" t="inlineStr">
        <is>
          <t>Feed thông báo phân trang</t>
        </is>
      </c>
      <c r="C5" s="6" t="n">
        <v>1</v>
      </c>
      <c r="D5" s="4">
        <f>IF(C5&gt;=1,"Finished",IF(C5&lt;=0,"Not started","In progress"))</f>
        <v/>
      </c>
    </row>
    <row r="6">
      <c r="A6" s="4" t="n">
        <v>3</v>
      </c>
      <c r="B6" s="29" t="inlineStr">
        <is>
          <t>Danh sách thông báo có lọc</t>
        </is>
      </c>
      <c r="C6" s="6" t="n">
        <v>1</v>
      </c>
      <c r="D6" s="4">
        <f>IF(C6&gt;=1,"Finished",IF(C6&lt;=0,"Not started","In progress"))</f>
        <v/>
      </c>
    </row>
    <row r="7">
      <c r="A7" s="4" t="n">
        <v>4</v>
      </c>
      <c r="B7" s="29" t="inlineStr">
        <is>
          <t>Danh mục enum thông báo</t>
        </is>
      </c>
      <c r="C7" s="6" t="n">
        <v>1</v>
      </c>
      <c r="D7" s="4">
        <f>IF(C7&gt;=1,"Finished",IF(C7&lt;=0,"Not started","In progress"))</f>
        <v/>
      </c>
    </row>
    <row r="8">
      <c r="A8" s="4" t="n">
        <v>5</v>
      </c>
      <c r="B8" s="29" t="inlineStr">
        <is>
          <t>Đánh dấu đã đọc một thông báo</t>
        </is>
      </c>
      <c r="C8" s="6" t="n">
        <v>1</v>
      </c>
      <c r="D8" s="4">
        <f>IF(C8&gt;=1,"Finished",IF(C8&lt;=0,"Not started","In progress"))</f>
        <v/>
      </c>
    </row>
    <row r="9">
      <c r="A9" s="4" t="n">
        <v>6</v>
      </c>
      <c r="B9" s="29" t="inlineStr">
        <is>
          <t>Đánh dấu đã đọc tất cả</t>
        </is>
      </c>
      <c r="C9" s="6" t="n">
        <v>1</v>
      </c>
      <c r="D9" s="4">
        <f>IF(C9&gt;=1,"Finished",IF(C9&lt;=0,"Not started","In progress"))</f>
        <v/>
      </c>
    </row>
    <row r="10">
      <c r="A10" s="4" t="n">
        <v>7</v>
      </c>
      <c r="B10" s="29" t="inlineStr">
        <is>
          <t>WebSocket gateway xác thực bằng JWT</t>
        </is>
      </c>
      <c r="C10" s="6" t="n">
        <v>1</v>
      </c>
      <c r="D10" s="4">
        <f>IF(C10&gt;=1,"Finished",IF(C10&lt;=0,"Not started","In progress"))</f>
        <v/>
      </c>
    </row>
    <row r="11">
      <c r="A11" s="4" t="n">
        <v>8</v>
      </c>
      <c r="B11" s="29" t="inlineStr">
        <is>
          <t>Đẩy realtime tới room của user</t>
        </is>
      </c>
      <c r="C11" s="6" t="n">
        <v>1</v>
      </c>
      <c r="D11" s="4">
        <f>IF(C11&gt;=1,"Finished",IF(C11&lt;=0,"Not started","In progress"))</f>
        <v/>
      </c>
    </row>
    <row r="12">
      <c r="A12" s="4" t="n">
        <v>9</v>
      </c>
      <c r="B12" s="29" t="inlineStr">
        <is>
          <t>Phát sự kiện hệ thống tới user</t>
        </is>
      </c>
      <c r="C12" s="6" t="n">
        <v>1</v>
      </c>
      <c r="D12" s="4">
        <f>IF(C12&gt;=1,"Finished",IF(C12&lt;=0,"Not started","In progress"))</f>
        <v/>
      </c>
    </row>
    <row r="13">
      <c r="A13" s="4" t="n">
        <v>10</v>
      </c>
      <c r="B13" s="29" t="inlineStr">
        <is>
          <t>Sự kiện: người dùng đăng ký</t>
        </is>
      </c>
      <c r="C13" s="6" t="n">
        <v>1</v>
      </c>
      <c r="D13" s="4">
        <f>IF(C13&gt;=1,"Finished",IF(C13&lt;=0,"Not started","In progress"))</f>
        <v/>
      </c>
    </row>
    <row r="14">
      <c r="A14" s="4" t="n">
        <v>11</v>
      </c>
      <c r="B14" s="29" t="inlineStr">
        <is>
          <t>Sự kiện: gửi/duyệt/từ chối claim hồ sơ</t>
        </is>
      </c>
      <c r="C14" s="6" t="n">
        <v>1</v>
      </c>
      <c r="D14" s="4">
        <f>IF(C14&gt;=1,"Finished",IF(C14&lt;=0,"Not started","In progress"))</f>
        <v/>
      </c>
    </row>
    <row r="15">
      <c r="A15" s="4" t="n">
        <v>12</v>
      </c>
      <c r="B15" s="29" t="inlineStr">
        <is>
          <t>Sự kiện: yêu cầu tuyển dụng mới</t>
        </is>
      </c>
      <c r="C15" s="6" t="n">
        <v>1</v>
      </c>
      <c r="D15" s="4">
        <f>IF(C15&gt;=1,"Finished",IF(C15&lt;=0,"Not started","In progress"))</f>
        <v/>
      </c>
    </row>
    <row r="16">
      <c r="A16" s="4" t="n">
        <v>13</v>
      </c>
      <c r="B16" s="29" t="inlineStr">
        <is>
          <t>Sự kiện: JD sinh bởi AI hoàn tất</t>
        </is>
      </c>
      <c r="C16" s="6" t="n">
        <v>1</v>
      </c>
      <c r="D16" s="4">
        <f>IF(C16&gt;=1,"Finished",IF(C16&lt;=0,"Not started","In progress"))</f>
        <v/>
      </c>
    </row>
    <row r="17">
      <c r="A17" s="4" t="n">
        <v>14</v>
      </c>
      <c r="B17" s="29" t="inlineStr">
        <is>
          <t>Sự kiện: JD sinh bởi AI thất bại</t>
        </is>
      </c>
      <c r="C17" s="6" t="n">
        <v>1</v>
      </c>
      <c r="D17" s="4">
        <f>IF(C17&gt;=1,"Finished",IF(C17&lt;=0,"Not started","In progress"))</f>
        <v/>
      </c>
    </row>
    <row r="18">
      <c r="A18" s="4" t="n">
        <v>15</v>
      </c>
      <c r="B18" s="29" t="inlineStr">
        <is>
          <t>Sự kiện: JD được duyệt</t>
        </is>
      </c>
      <c r="C18" s="6" t="n">
        <v>1</v>
      </c>
      <c r="D18" s="4">
        <f>IF(C18&gt;=1,"Finished",IF(C18&lt;=0,"Not started","In progress"))</f>
        <v/>
      </c>
    </row>
    <row r="19">
      <c r="A19" s="4" t="n">
        <v>16</v>
      </c>
      <c r="B19" s="29" t="inlineStr">
        <is>
          <t>Sự kiện: ứng viên đạt điểm cao</t>
        </is>
      </c>
      <c r="C19" s="6" t="n">
        <v>1</v>
      </c>
      <c r="D19" s="4">
        <f>IF(C19&gt;=1,"Finished",IF(C19&lt;=0,"Not started","In progress"))</f>
        <v/>
      </c>
    </row>
    <row r="20">
      <c r="A20" s="4" t="n">
        <v>17</v>
      </c>
      <c r="B20" s="29" t="inlineStr">
        <is>
          <t>Sự kiện: ticket được tạo</t>
        </is>
      </c>
      <c r="C20" s="6" t="n">
        <v>1</v>
      </c>
      <c r="D20" s="4">
        <f>IF(C20&gt;=1,"Finished",IF(C20&lt;=0,"Not started","In progress"))</f>
        <v/>
      </c>
    </row>
    <row r="21">
      <c r="A21" s="4" t="n">
        <v>18</v>
      </c>
      <c r="B21" s="29" t="inlineStr">
        <is>
          <t>Sự kiện: ticket được giao</t>
        </is>
      </c>
      <c r="C21" s="6" t="n">
        <v>1</v>
      </c>
      <c r="D21" s="4">
        <f>IF(C21&gt;=1,"Finished",IF(C21&lt;=0,"Not started","In progress"))</f>
        <v/>
      </c>
    </row>
    <row r="22">
      <c r="A22" s="4" t="n">
        <v>19</v>
      </c>
      <c r="B22" s="29" t="inlineStr">
        <is>
          <t>Sự kiện: ticket đặt lịch họp</t>
        </is>
      </c>
      <c r="C22" s="6" t="n">
        <v>1</v>
      </c>
      <c r="D22" s="4">
        <f>IF(C22&gt;=1,"Finished",IF(C22&lt;=0,"Not started","In progress"))</f>
        <v/>
      </c>
    </row>
    <row r="23">
      <c r="A23" s="4" t="n">
        <v>20</v>
      </c>
      <c r="B23" s="29" t="inlineStr">
        <is>
          <t>Sự kiện: ticket được giải quyết</t>
        </is>
      </c>
      <c r="C23" s="6" t="n">
        <v>1</v>
      </c>
      <c r="D23" s="4">
        <f>IF(C23&gt;=1,"Finished",IF(C23&lt;=0,"Not started","In progress"))</f>
        <v/>
      </c>
    </row>
    <row r="24">
      <c r="A24" s="4" t="n">
        <v>21</v>
      </c>
      <c r="B24" s="29" t="inlineStr">
        <is>
          <t>Sự kiện: ticket đổi trạng thái</t>
        </is>
      </c>
      <c r="C24" s="6" t="n">
        <v>1</v>
      </c>
      <c r="D24" s="4">
        <f>IF(C24&gt;=1,"Finished",IF(C24&lt;=0,"Not started","In progress"))</f>
        <v/>
      </c>
    </row>
    <row r="25">
      <c r="A25" s="4" t="n">
        <v>22</v>
      </c>
      <c r="B25" s="29" t="inlineStr">
        <is>
          <t>Sự kiện: ticket vi phạm SLA</t>
        </is>
      </c>
      <c r="C25" s="6" t="n">
        <v>1</v>
      </c>
      <c r="D25" s="4">
        <f>IF(C25&gt;=1,"Finished",IF(C25&lt;=0,"Not started","In progress"))</f>
        <v/>
      </c>
    </row>
    <row r="26">
      <c r="A26" s="4" t="n">
        <v>23</v>
      </c>
      <c r="B26" s="29" t="inlineStr">
        <is>
          <t>Seed dữ liệu thông báo mẫu (dev/test)</t>
        </is>
      </c>
      <c r="C26" s="6" t="n">
        <v>1</v>
      </c>
      <c r="D26" s="4">
        <f>IF(C26&gt;=1,"Finished",IF(C26&lt;=0,"Not started","In progress"))</f>
        <v/>
      </c>
    </row>
    <row r="27">
      <c r="A27" s="32" t="inlineStr">
        <is>
          <t>Không tính vào Progress — Unit test &amp; Tối ưu hoá tương lai</t>
        </is>
      </c>
      <c r="B27" s="33" t="n"/>
      <c r="C27" s="33" t="n"/>
      <c r="D27" s="33" t="n"/>
    </row>
    <row r="28">
      <c r="A28" s="4" t="n">
        <v>24</v>
      </c>
      <c r="B28" s="30" t="inlineStr">
        <is>
          <t>Unit test</t>
        </is>
      </c>
      <c r="C28" s="31" t="n">
        <v>0</v>
      </c>
      <c r="D28" s="4">
        <f>IF(C28&gt;=1,"Finished",IF(C28&lt;=0,"Not started","In progress"))</f>
        <v/>
      </c>
    </row>
    <row r="29">
      <c r="A29" s="34" t="n">
        <v>25</v>
      </c>
      <c r="B29" s="35" t="inlineStr">
        <is>
          <t>Tối ưu Index CSDL: Tránh Sequential Scan để giảm triệt để Disk I/O</t>
        </is>
      </c>
      <c r="C29" s="36" t="n"/>
      <c r="D29" s="34" t="inlineStr">
        <is>
          <t>In progress</t>
        </is>
      </c>
    </row>
    <row r="30">
      <c r="A30" s="34" t="n">
        <v>26</v>
      </c>
      <c r="B30" s="35" t="inlineStr">
        <is>
          <t>Tối ưu câu lệnh truy vấn: Triệt tiêu lỗi N+1 Query bằng JOIN hoặc batching</t>
        </is>
      </c>
      <c r="C30" s="36" t="n"/>
      <c r="D30" s="34" t="inlineStr">
        <is>
          <t>In progress</t>
        </is>
      </c>
    </row>
    <row r="31">
      <c r="A31" s="34" t="n">
        <v>27</v>
      </c>
      <c r="B31" s="35" t="inlineStr">
        <is>
          <t>Tối ưu Payload RESTful: Chỉ truy vấn các trường cần thiết, tránh payload chứa tất cả thông tin</t>
        </is>
      </c>
      <c r="C31" s="36" t="n"/>
      <c r="D31" s="34" t="inlineStr">
        <is>
          <t>In progress</t>
        </is>
      </c>
    </row>
    <row r="33" ht="30" customHeight="1">
      <c r="A33" s="7" t="inlineStr"/>
      <c r="B33" s="37" t="inlineStr">
        <is>
          <t>Tổng kết module (chỉ tính các feature phía trên)</t>
        </is>
      </c>
      <c r="C33" s="38">
        <f>AVERAGE(C4:C26)</f>
        <v/>
      </c>
      <c r="D33" s="39">
        <f>COUNTIF(D4:D26,"Finished")&amp;"/"&amp;COUNTA(D4:D26)&amp;" finished"</f>
        <v/>
      </c>
    </row>
    <row r="35">
      <c r="B35" s="2" t="inlineStr">
        <is>
          <t>Cách dùng: chỉ sửa cột C (Progress, 0%–100%). Cột D tự tính.</t>
        </is>
      </c>
    </row>
    <row r="36">
      <c r="B36" s="2" t="inlineStr">
        <is>
          <t>Ô tô vàng = chưa hoàn thiện; di chuột vào tên feature để xem ghi chú kỹ thuật.</t>
        </is>
      </c>
    </row>
    <row r="37">
      <c r="B37" s="2" t="inlineStr">
        <is>
          <t>Unit test và hạng mục tối ưu (nền xám) nằm ngoài vùng tổng kết, không ảnh hưởng Progress.</t>
        </is>
      </c>
    </row>
  </sheetData>
  <mergeCells count="3">
    <mergeCell ref="A1:D1"/>
    <mergeCell ref="A27:D27"/>
    <mergeCell ref="A2:D2"/>
  </mergeCells>
  <conditionalFormatting sqref="D4:D31">
    <cfRule type="cellIs" priority="1" operator="equal" dxfId="0">
      <formula>"Finished"</formula>
    </cfRule>
    <cfRule type="cellIs" priority="2" operator="equal" dxfId="1">
      <formula>"In progress"</formula>
    </cfRule>
    <cfRule type="cellIs" priority="3" operator="equal" dxfId="2">
      <formula>"Not started"</formula>
    </cfRule>
  </conditionalFormatting>
  <dataValidations count="1">
    <dataValidation sqref="C4:C26" showDropDown="0" showInputMessage="0" showErrorMessage="0" allowBlank="0" errorTitle="Gia tri khong hop le" error="Progress phai nam trong khoang 0% - 100%." type="decimal" operator="between">
      <formula1>0</formula1>
      <formula2>1</formula2>
    </dataValidation>
  </dataValidation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D22"/>
  <sheetViews>
    <sheetView workbookViewId="0">
      <pane ySplit="3" topLeftCell="A4" activePane="bottomLeft" state="frozen"/>
      <selection pane="bottomLeft" activeCell="A1" sqref="A1"/>
    </sheetView>
  </sheetViews>
  <sheetFormatPr baseColWidth="8" defaultRowHeight="15"/>
  <cols>
    <col width="6" customWidth="1" min="1" max="1"/>
    <col width="62" customWidth="1" min="2" max="2"/>
    <col width="12" customWidth="1" min="3" max="3"/>
    <col width="15" customWidth="1" min="4" max="4"/>
  </cols>
  <sheetData>
    <row r="1" ht="26" customHeight="1">
      <c r="A1" s="1" t="inlineStr">
        <is>
          <t>Audit Log</t>
        </is>
      </c>
    </row>
    <row r="2">
      <c r="A2" s="2" t="inlineStr">
        <is>
          <t>Nguồn: src/audit-log</t>
        </is>
      </c>
    </row>
    <row r="3" ht="20" customHeight="1">
      <c r="A3" s="3" t="inlineStr">
        <is>
          <t>No</t>
        </is>
      </c>
      <c r="B3" s="3" t="inlineStr">
        <is>
          <t>Feature Name</t>
        </is>
      </c>
      <c r="C3" s="3" t="inlineStr">
        <is>
          <t>Progress</t>
        </is>
      </c>
      <c r="D3" s="3" t="inlineStr">
        <is>
          <t>isDone</t>
        </is>
      </c>
    </row>
    <row r="4">
      <c r="A4" s="4" t="n">
        <v>1</v>
      </c>
      <c r="B4" s="29" t="inlineStr">
        <is>
          <t>Ghi nhật ký hành động (logAction)</t>
        </is>
      </c>
      <c r="C4" s="6" t="n">
        <v>1</v>
      </c>
      <c r="D4" s="4">
        <f>IF(C4&gt;=1,"Finished",IF(C4&lt;=0,"Not started","In progress"))</f>
        <v/>
      </c>
    </row>
    <row r="5">
      <c r="A5" s="4" t="n">
        <v>2</v>
      </c>
      <c r="B5" s="29" t="inlineStr">
        <is>
          <t>Truy vấn nhật ký có lọc + phân trang</t>
        </is>
      </c>
      <c r="C5" s="6" t="n">
        <v>1</v>
      </c>
      <c r="D5" s="4">
        <f>IF(C5&gt;=1,"Finished",IF(C5&lt;=0,"Not started","In progress"))</f>
        <v/>
      </c>
    </row>
    <row r="6">
      <c r="A6" s="4" t="n">
        <v>3</v>
      </c>
      <c r="B6" s="29" t="inlineStr">
        <is>
          <t>Phân vùng hiển thị theo phạm vi (global / phòng ban)</t>
        </is>
      </c>
      <c r="C6" s="6" t="n">
        <v>1</v>
      </c>
      <c r="D6" s="4">
        <f>IF(C6&gt;=1,"Finished",IF(C6&lt;=0,"Not started","In progress"))</f>
        <v/>
      </c>
    </row>
    <row r="7">
      <c r="A7" s="4" t="n">
        <v>4</v>
      </c>
      <c r="B7" s="29" t="inlineStr">
        <is>
          <t>Endpoint ghi log từ phía client</t>
        </is>
      </c>
      <c r="C7" s="6" t="n">
        <v>1</v>
      </c>
      <c r="D7" s="4">
        <f>IF(C7&gt;=1,"Finished",IF(C7&lt;=0,"Not started","In progress"))</f>
        <v/>
      </c>
    </row>
    <row r="8">
      <c r="A8" s="4" t="n">
        <v>5</v>
      </c>
      <c r="B8" s="29" t="inlineStr">
        <is>
          <t>Seed dữ liệu nhật ký mẫu</t>
        </is>
      </c>
      <c r="C8" s="6" t="n">
        <v>1</v>
      </c>
      <c r="D8" s="4">
        <f>IF(C8&gt;=1,"Finished",IF(C8&lt;=0,"Not started","In progress"))</f>
        <v/>
      </c>
    </row>
    <row r="9">
      <c r="A9" s="4" t="n">
        <v>6</v>
      </c>
      <c r="B9" s="29" t="inlineStr">
        <is>
          <t>Entity cơ sở Auditable (created/updated/deleted by)</t>
        </is>
      </c>
      <c r="C9" s="6" t="n">
        <v>1</v>
      </c>
      <c r="D9" s="4">
        <f>IF(C9&gt;=1,"Finished",IF(C9&lt;=0,"Not started","In progress"))</f>
        <v/>
      </c>
    </row>
    <row r="10">
      <c r="A10" s="4" t="n">
        <v>7</v>
      </c>
      <c r="B10" s="30" t="inlineStr">
        <is>
          <t>Job xuất nhật ký (audit export)</t>
        </is>
      </c>
      <c r="C10" s="31" t="n">
        <v>0.15</v>
      </c>
      <c r="D10" s="4">
        <f>IF(C10&gt;=1,"Finished",IF(C10&lt;=0,"Not started","In progress"))</f>
        <v/>
      </c>
    </row>
    <row r="11">
      <c r="A11" s="4" t="n">
        <v>8</v>
      </c>
      <c r="B11" s="30" t="inlineStr">
        <is>
          <t>Chính sách lưu trữ / xoá nhật ký (retention)</t>
        </is>
      </c>
      <c r="C11" s="31" t="n">
        <v>0.15</v>
      </c>
      <c r="D11" s="4">
        <f>IF(C11&gt;=1,"Finished",IF(C11&lt;=0,"Not started","In progress"))</f>
        <v/>
      </c>
    </row>
    <row r="12">
      <c r="A12" s="32" t="inlineStr">
        <is>
          <t>Không tính vào Progress — Unit test &amp; Tối ưu hoá tương lai</t>
        </is>
      </c>
      <c r="B12" s="33" t="n"/>
      <c r="C12" s="33" t="n"/>
      <c r="D12" s="33" t="n"/>
    </row>
    <row r="13">
      <c r="A13" s="4" t="n">
        <v>9</v>
      </c>
      <c r="B13" s="30" t="inlineStr">
        <is>
          <t>Unit test</t>
        </is>
      </c>
      <c r="C13" s="31" t="n">
        <v>0</v>
      </c>
      <c r="D13" s="4">
        <f>IF(C13&gt;=1,"Finished",IF(C13&lt;=0,"Not started","In progress"))</f>
        <v/>
      </c>
    </row>
    <row r="14">
      <c r="A14" s="34" t="n">
        <v>10</v>
      </c>
      <c r="B14" s="35" t="inlineStr">
        <is>
          <t>Tối ưu Index CSDL: Tránh Sequential Scan để giảm triệt để Disk I/O</t>
        </is>
      </c>
      <c r="C14" s="36" t="n"/>
      <c r="D14" s="34" t="inlineStr">
        <is>
          <t>In progress</t>
        </is>
      </c>
    </row>
    <row r="15">
      <c r="A15" s="34" t="n">
        <v>11</v>
      </c>
      <c r="B15" s="35" t="inlineStr">
        <is>
          <t>Tối ưu câu lệnh truy vấn: Triệt tiêu lỗi N+1 Query bằng JOIN hoặc batching</t>
        </is>
      </c>
      <c r="C15" s="36" t="n"/>
      <c r="D15" s="34" t="inlineStr">
        <is>
          <t>In progress</t>
        </is>
      </c>
    </row>
    <row r="16">
      <c r="A16" s="34" t="n">
        <v>12</v>
      </c>
      <c r="B16" s="35" t="inlineStr">
        <is>
          <t>Tối ưu Payload RESTful: Chỉ truy vấn các trường cần thiết, tránh payload chứa tất cả thông tin</t>
        </is>
      </c>
      <c r="C16" s="36" t="n"/>
      <c r="D16" s="34" t="inlineStr">
        <is>
          <t>In progress</t>
        </is>
      </c>
    </row>
    <row r="18" ht="30" customHeight="1">
      <c r="A18" s="7" t="inlineStr"/>
      <c r="B18" s="37" t="inlineStr">
        <is>
          <t>Tổng kết module (chỉ tính các feature phía trên)</t>
        </is>
      </c>
      <c r="C18" s="38">
        <f>AVERAGE(C4:C11)</f>
        <v/>
      </c>
      <c r="D18" s="39">
        <f>COUNTIF(D4:D11,"Finished")&amp;"/"&amp;COUNTA(D4:D11)&amp;" finished"</f>
        <v/>
      </c>
    </row>
    <row r="20">
      <c r="B20" s="2" t="inlineStr">
        <is>
          <t>Cách dùng: chỉ sửa cột C (Progress, 0%–100%). Cột D tự tính.</t>
        </is>
      </c>
    </row>
    <row r="21">
      <c r="B21" s="2" t="inlineStr">
        <is>
          <t>Ô tô vàng = chưa hoàn thiện; di chuột vào tên feature để xem ghi chú kỹ thuật.</t>
        </is>
      </c>
    </row>
    <row r="22">
      <c r="B22" s="2" t="inlineStr">
        <is>
          <t>Unit test và hạng mục tối ưu (nền xám) nằm ngoài vùng tổng kết, không ảnh hưởng Progress.</t>
        </is>
      </c>
    </row>
  </sheetData>
  <mergeCells count="3">
    <mergeCell ref="A1:D1"/>
    <mergeCell ref="A12:D12"/>
    <mergeCell ref="A2:D2"/>
  </mergeCells>
  <conditionalFormatting sqref="D4:D16">
    <cfRule type="cellIs" priority="1" operator="equal" dxfId="0">
      <formula>"Finished"</formula>
    </cfRule>
    <cfRule type="cellIs" priority="2" operator="equal" dxfId="1">
      <formula>"In progress"</formula>
    </cfRule>
    <cfRule type="cellIs" priority="3" operator="equal" dxfId="2">
      <formula>"Not started"</formula>
    </cfRule>
  </conditionalFormatting>
  <dataValidations count="1">
    <dataValidation sqref="C4:C11" showDropDown="0" showInputMessage="0" showErrorMessage="0" allowBlank="0" errorTitle="Gia tri khong hop le" error="Progress phai nam trong khoang 0% - 100%." type="decimal" operator="between">
      <formula1>0</formula1>
      <formula2>1</formula2>
    </dataValidation>
  </dataValidations>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D27"/>
  <sheetViews>
    <sheetView workbookViewId="0">
      <pane ySplit="3" topLeftCell="A4" activePane="bottomLeft" state="frozen"/>
      <selection pane="bottomLeft" activeCell="A1" sqref="A1"/>
    </sheetView>
  </sheetViews>
  <sheetFormatPr baseColWidth="8" defaultRowHeight="15"/>
  <cols>
    <col width="6" customWidth="1" min="1" max="1"/>
    <col width="62" customWidth="1" min="2" max="2"/>
    <col width="12" customWidth="1" min="3" max="3"/>
    <col width="15" customWidth="1" min="4" max="4"/>
  </cols>
  <sheetData>
    <row r="1" ht="26" customHeight="1">
      <c r="A1" s="1" t="inlineStr">
        <is>
          <t>Tickets</t>
        </is>
      </c>
    </row>
    <row r="2">
      <c r="A2" s="2" t="inlineStr">
        <is>
          <t>Nguồn: src/tickets</t>
        </is>
      </c>
    </row>
    <row r="3" ht="20" customHeight="1">
      <c r="A3" s="3" t="inlineStr">
        <is>
          <t>No</t>
        </is>
      </c>
      <c r="B3" s="3" t="inlineStr">
        <is>
          <t>Feature Name</t>
        </is>
      </c>
      <c r="C3" s="3" t="inlineStr">
        <is>
          <t>Progress</t>
        </is>
      </c>
      <c r="D3" s="3" t="inlineStr">
        <is>
          <t>isDone</t>
        </is>
      </c>
    </row>
    <row r="4">
      <c r="A4" s="4" t="n">
        <v>1</v>
      </c>
      <c r="B4" s="29" t="inlineStr">
        <is>
          <t>Tạo phiếu yêu cầu (tự sinh ticket code)</t>
        </is>
      </c>
      <c r="C4" s="6" t="n">
        <v>1</v>
      </c>
      <c r="D4" s="4">
        <f>IF(C4&gt;=1,"Finished",IF(C4&lt;=0,"Not started","In progress"))</f>
        <v/>
      </c>
    </row>
    <row r="5">
      <c r="A5" s="4" t="n">
        <v>2</v>
      </c>
      <c r="B5" s="29" t="inlineStr">
        <is>
          <t>Danh sách / lọc phiếu yêu cầu</t>
        </is>
      </c>
      <c r="C5" s="6" t="n">
        <v>1</v>
      </c>
      <c r="D5" s="4">
        <f>IF(C5&gt;=1,"Finished",IF(C5&lt;=0,"Not started","In progress"))</f>
        <v/>
      </c>
    </row>
    <row r="6">
      <c r="A6" s="4" t="n">
        <v>3</v>
      </c>
      <c r="B6" s="29" t="inlineStr">
        <is>
          <t>Chi tiết phiếu yêu cầu</t>
        </is>
      </c>
      <c r="C6" s="6" t="n">
        <v>1</v>
      </c>
      <c r="D6" s="4">
        <f>IF(C6&gt;=1,"Finished",IF(C6&lt;=0,"Not started","In progress"))</f>
        <v/>
      </c>
    </row>
    <row r="7">
      <c r="A7" s="4" t="n">
        <v>4</v>
      </c>
      <c r="B7" s="29" t="inlineStr">
        <is>
          <t>Giao phiếu cho người xử lý</t>
        </is>
      </c>
      <c r="C7" s="6" t="n">
        <v>1</v>
      </c>
      <c r="D7" s="4">
        <f>IF(C7&gt;=1,"Finished",IF(C7&lt;=0,"Not started","In progress"))</f>
        <v/>
      </c>
    </row>
    <row r="8">
      <c r="A8" s="4" t="n">
        <v>5</v>
      </c>
      <c r="B8" s="29" t="inlineStr">
        <is>
          <t>Đặt lịch họp cho phiếu</t>
        </is>
      </c>
      <c r="C8" s="6" t="n">
        <v>1</v>
      </c>
      <c r="D8" s="4">
        <f>IF(C8&gt;=1,"Finished",IF(C8&lt;=0,"Not started","In progress"))</f>
        <v/>
      </c>
    </row>
    <row r="9">
      <c r="A9" s="4" t="n">
        <v>6</v>
      </c>
      <c r="B9" s="29" t="inlineStr">
        <is>
          <t>Ghi nhận kết quả cuộc họp</t>
        </is>
      </c>
      <c r="C9" s="6" t="n">
        <v>1</v>
      </c>
      <c r="D9" s="4">
        <f>IF(C9&gt;=1,"Finished",IF(C9&lt;=0,"Not started","In progress"))</f>
        <v/>
      </c>
    </row>
    <row r="10">
      <c r="A10" s="4" t="n">
        <v>7</v>
      </c>
      <c r="B10" s="29" t="inlineStr">
        <is>
          <t>Giải quyết phiếu (resolve)</t>
        </is>
      </c>
      <c r="C10" s="6" t="n">
        <v>1</v>
      </c>
      <c r="D10" s="4">
        <f>IF(C10&gt;=1,"Finished",IF(C10&lt;=0,"Not started","In progress"))</f>
        <v/>
      </c>
    </row>
    <row r="11">
      <c r="A11" s="4" t="n">
        <v>8</v>
      </c>
      <c r="B11" s="29" t="inlineStr">
        <is>
          <t>Từ chối phiếu (reject)</t>
        </is>
      </c>
      <c r="C11" s="6" t="n">
        <v>1</v>
      </c>
      <c r="D11" s="4">
        <f>IF(C11&gt;=1,"Finished",IF(C11&lt;=0,"Not started","In progress"))</f>
        <v/>
      </c>
    </row>
    <row r="12">
      <c r="A12" s="4" t="n">
        <v>9</v>
      </c>
      <c r="B12" s="29" t="inlineStr">
        <is>
          <t>Đóng phiếu (close)</t>
        </is>
      </c>
      <c r="C12" s="6" t="n">
        <v>1</v>
      </c>
      <c r="D12" s="4">
        <f>IF(C12&gt;=1,"Finished",IF(C12&lt;=0,"Not started","In progress"))</f>
        <v/>
      </c>
    </row>
    <row r="13">
      <c r="A13" s="4" t="n">
        <v>10</v>
      </c>
      <c r="B13" s="29" t="inlineStr">
        <is>
          <t>Mở lại phiếu (reopen)</t>
        </is>
      </c>
      <c r="C13" s="6" t="n">
        <v>1</v>
      </c>
      <c r="D13" s="4">
        <f>IF(C13&gt;=1,"Finished",IF(C13&lt;=0,"Not started","In progress"))</f>
        <v/>
      </c>
    </row>
    <row r="14">
      <c r="A14" s="4" t="n">
        <v>11</v>
      </c>
      <c r="B14" s="29" t="inlineStr">
        <is>
          <t>Tính hạn phản hồi / hạn xử lý theo SLA</t>
        </is>
      </c>
      <c r="C14" s="6" t="n">
        <v>1</v>
      </c>
      <c r="D14" s="4">
        <f>IF(C14&gt;=1,"Finished",IF(C14&lt;=0,"Not started","In progress"))</f>
        <v/>
      </c>
    </row>
    <row r="15">
      <c r="A15" s="4" t="n">
        <v>12</v>
      </c>
      <c r="B15" s="29" t="inlineStr">
        <is>
          <t>Scheduler quét vi phạm SLA</t>
        </is>
      </c>
      <c r="C15" s="6" t="n">
        <v>1</v>
      </c>
      <c r="D15" s="4">
        <f>IF(C15&gt;=1,"Finished",IF(C15&lt;=0,"Not started","In progress"))</f>
        <v/>
      </c>
    </row>
    <row r="16">
      <c r="A16" s="4" t="n">
        <v>13</v>
      </c>
      <c r="B16" s="29" t="inlineStr">
        <is>
          <t>Thông báo cảnh báo vi phạm SLA</t>
        </is>
      </c>
      <c r="C16" s="6" t="n">
        <v>1</v>
      </c>
      <c r="D16" s="4">
        <f>IF(C16&gt;=1,"Finished",IF(C16&lt;=0,"Not started","In progress"))</f>
        <v/>
      </c>
    </row>
    <row r="17">
      <c r="A17" s="32" t="inlineStr">
        <is>
          <t>Không tính vào Progress — Unit test &amp; Tối ưu hoá tương lai</t>
        </is>
      </c>
      <c r="B17" s="33" t="n"/>
      <c r="C17" s="33" t="n"/>
      <c r="D17" s="33" t="n"/>
    </row>
    <row r="18">
      <c r="A18" s="4" t="n">
        <v>14</v>
      </c>
      <c r="B18" s="30" t="inlineStr">
        <is>
          <t>Unit test</t>
        </is>
      </c>
      <c r="C18" s="31" t="n">
        <v>0</v>
      </c>
      <c r="D18" s="4">
        <f>IF(C18&gt;=1,"Finished",IF(C18&lt;=0,"Not started","In progress"))</f>
        <v/>
      </c>
    </row>
    <row r="19">
      <c r="A19" s="34" t="n">
        <v>15</v>
      </c>
      <c r="B19" s="35" t="inlineStr">
        <is>
          <t>Tối ưu Index CSDL: Tránh Sequential Scan để giảm triệt để Disk I/O</t>
        </is>
      </c>
      <c r="C19" s="36" t="n"/>
      <c r="D19" s="34" t="inlineStr">
        <is>
          <t>In progress</t>
        </is>
      </c>
    </row>
    <row r="20">
      <c r="A20" s="34" t="n">
        <v>16</v>
      </c>
      <c r="B20" s="35" t="inlineStr">
        <is>
          <t>Tối ưu câu lệnh truy vấn: Triệt tiêu lỗi N+1 Query bằng JOIN hoặc batching</t>
        </is>
      </c>
      <c r="C20" s="36" t="n"/>
      <c r="D20" s="34" t="inlineStr">
        <is>
          <t>In progress</t>
        </is>
      </c>
    </row>
    <row r="21">
      <c r="A21" s="34" t="n">
        <v>17</v>
      </c>
      <c r="B21" s="35" t="inlineStr">
        <is>
          <t>Tối ưu Payload RESTful: Chỉ truy vấn các trường cần thiết, tránh payload chứa tất cả thông tin</t>
        </is>
      </c>
      <c r="C21" s="36" t="n"/>
      <c r="D21" s="34" t="inlineStr">
        <is>
          <t>In progress</t>
        </is>
      </c>
    </row>
    <row r="23" ht="30" customHeight="1">
      <c r="A23" s="7" t="inlineStr"/>
      <c r="B23" s="37" t="inlineStr">
        <is>
          <t>Tổng kết module (chỉ tính các feature phía trên)</t>
        </is>
      </c>
      <c r="C23" s="38">
        <f>AVERAGE(C4:C16)</f>
        <v/>
      </c>
      <c r="D23" s="39">
        <f>COUNTIF(D4:D16,"Finished")&amp;"/"&amp;COUNTA(D4:D16)&amp;" finished"</f>
        <v/>
      </c>
    </row>
    <row r="25">
      <c r="B25" s="2" t="inlineStr">
        <is>
          <t>Cách dùng: chỉ sửa cột C (Progress, 0%–100%). Cột D tự tính.</t>
        </is>
      </c>
    </row>
    <row r="26">
      <c r="B26" s="2" t="inlineStr">
        <is>
          <t>Ô tô vàng = chưa hoàn thiện; di chuột vào tên feature để xem ghi chú kỹ thuật.</t>
        </is>
      </c>
    </row>
    <row r="27">
      <c r="B27" s="2" t="inlineStr">
        <is>
          <t>Unit test và hạng mục tối ưu (nền xám) nằm ngoài vùng tổng kết, không ảnh hưởng Progress.</t>
        </is>
      </c>
    </row>
  </sheetData>
  <mergeCells count="3">
    <mergeCell ref="A1:D1"/>
    <mergeCell ref="A17:D17"/>
    <mergeCell ref="A2:D2"/>
  </mergeCells>
  <conditionalFormatting sqref="D4:D21">
    <cfRule type="cellIs" priority="1" operator="equal" dxfId="0">
      <formula>"Finished"</formula>
    </cfRule>
    <cfRule type="cellIs" priority="2" operator="equal" dxfId="1">
      <formula>"In progress"</formula>
    </cfRule>
    <cfRule type="cellIs" priority="3" operator="equal" dxfId="2">
      <formula>"Not started"</formula>
    </cfRule>
  </conditionalFormatting>
  <dataValidations count="1">
    <dataValidation sqref="C4:C16" showDropDown="0" showInputMessage="0" showErrorMessage="0" allowBlank="0" errorTitle="Gia tri khong hop le" error="Progress phai nam trong khoang 0% - 100%." type="decimal" operator="between">
      <formula1>0</formula1>
      <formula2>1</formula2>
    </dataValidation>
  </dataValidation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D22"/>
  <sheetViews>
    <sheetView workbookViewId="0">
      <pane ySplit="3" topLeftCell="A4" activePane="bottomLeft" state="frozen"/>
      <selection pane="bottomLeft" activeCell="A1" sqref="A1"/>
    </sheetView>
  </sheetViews>
  <sheetFormatPr baseColWidth="8" defaultRowHeight="15"/>
  <cols>
    <col width="6" customWidth="1" min="1" max="1"/>
    <col width="62" customWidth="1" min="2" max="2"/>
    <col width="12" customWidth="1" min="3" max="3"/>
    <col width="15" customWidth="1" min="4" max="4"/>
  </cols>
  <sheetData>
    <row r="1" ht="26" customHeight="1">
      <c r="A1" s="1" t="inlineStr">
        <is>
          <t>ATS - Recruitment Requests</t>
        </is>
      </c>
    </row>
    <row r="2">
      <c r="A2" s="2" t="inlineStr">
        <is>
          <t>Nguồn: src/ats</t>
        </is>
      </c>
    </row>
    <row r="3" ht="20" customHeight="1">
      <c r="A3" s="3" t="inlineStr">
        <is>
          <t>No</t>
        </is>
      </c>
      <c r="B3" s="3" t="inlineStr">
        <is>
          <t>Feature Name</t>
        </is>
      </c>
      <c r="C3" s="3" t="inlineStr">
        <is>
          <t>Progress</t>
        </is>
      </c>
      <c r="D3" s="3" t="inlineStr">
        <is>
          <t>isDone</t>
        </is>
      </c>
    </row>
    <row r="4">
      <c r="A4" s="4" t="n">
        <v>1</v>
      </c>
      <c r="B4" s="29" t="inlineStr">
        <is>
          <t>Tạo yêu cầu tuyển dụng</t>
        </is>
      </c>
      <c r="C4" s="6" t="n">
        <v>1</v>
      </c>
      <c r="D4" s="4">
        <f>IF(C4&gt;=1,"Finished",IF(C4&lt;=0,"Not started","In progress"))</f>
        <v/>
      </c>
    </row>
    <row r="5">
      <c r="A5" s="4" t="n">
        <v>2</v>
      </c>
      <c r="B5" s="29" t="inlineStr">
        <is>
          <t>Danh sách theo phạm vi RBAC</t>
        </is>
      </c>
      <c r="C5" s="6" t="n">
        <v>1</v>
      </c>
      <c r="D5" s="4">
        <f>IF(C5&gt;=1,"Finished",IF(C5&lt;=0,"Not started","In progress"))</f>
        <v/>
      </c>
    </row>
    <row r="6">
      <c r="A6" s="4" t="n">
        <v>3</v>
      </c>
      <c r="B6" s="29" t="inlineStr">
        <is>
          <t>Chi tiết yêu cầu tuyển dụng</t>
        </is>
      </c>
      <c r="C6" s="6" t="n">
        <v>1</v>
      </c>
      <c r="D6" s="4">
        <f>IF(C6&gt;=1,"Finished",IF(C6&lt;=0,"Not started","In progress"))</f>
        <v/>
      </c>
    </row>
    <row r="7">
      <c r="A7" s="4" t="n">
        <v>4</v>
      </c>
      <c r="B7" s="29" t="inlineStr">
        <is>
          <t>Cập nhật yêu cầu</t>
        </is>
      </c>
      <c r="C7" s="6" t="n">
        <v>1</v>
      </c>
      <c r="D7" s="4">
        <f>IF(C7&gt;=1,"Finished",IF(C7&lt;=0,"Not started","In progress"))</f>
        <v/>
      </c>
    </row>
    <row r="8">
      <c r="A8" s="4" t="n">
        <v>5</v>
      </c>
      <c r="B8" s="29" t="inlineStr">
        <is>
          <t>Duyệt / từ chối yêu cầu</t>
        </is>
      </c>
      <c r="C8" s="6" t="n">
        <v>1</v>
      </c>
      <c r="D8" s="4">
        <f>IF(C8&gt;=1,"Finished",IF(C8&lt;=0,"Not started","In progress"))</f>
        <v/>
      </c>
    </row>
    <row r="9">
      <c r="A9" s="4" t="n">
        <v>6</v>
      </c>
      <c r="B9" s="29" t="inlineStr">
        <is>
          <t>Huỷ yêu cầu</t>
        </is>
      </c>
      <c r="C9" s="6" t="n">
        <v>1</v>
      </c>
      <c r="D9" s="4">
        <f>IF(C9&gt;=1,"Finished",IF(C9&lt;=0,"Not started","In progress"))</f>
        <v/>
      </c>
    </row>
    <row r="10">
      <c r="A10" s="4" t="n">
        <v>7</v>
      </c>
      <c r="B10" s="29" t="inlineStr">
        <is>
          <t>Kiểm soát chuyển trạng thái (transitionStatus)</t>
        </is>
      </c>
      <c r="C10" s="6" t="n">
        <v>1</v>
      </c>
      <c r="D10" s="4">
        <f>IF(C10&gt;=1,"Finished",IF(C10&lt;=0,"Not started","In progress"))</f>
        <v/>
      </c>
    </row>
    <row r="11">
      <c r="A11" s="4" t="n">
        <v>8</v>
      </c>
      <c r="B11" s="29" t="inlineStr">
        <is>
          <t>Phát sự kiện recruitment.request.created</t>
        </is>
      </c>
      <c r="C11" s="6" t="n">
        <v>1</v>
      </c>
      <c r="D11" s="4">
        <f>IF(C11&gt;=1,"Finished",IF(C11&lt;=0,"Not started","In progress"))</f>
        <v/>
      </c>
    </row>
    <row r="12">
      <c r="A12" s="32" t="inlineStr">
        <is>
          <t>Không tính vào Progress — Unit test &amp; Tối ưu hoá tương lai</t>
        </is>
      </c>
      <c r="B12" s="33" t="n"/>
      <c r="C12" s="33" t="n"/>
      <c r="D12" s="33" t="n"/>
    </row>
    <row r="13">
      <c r="A13" s="4" t="n">
        <v>9</v>
      </c>
      <c r="B13" s="30" t="inlineStr">
        <is>
          <t>Unit test</t>
        </is>
      </c>
      <c r="C13" s="31" t="n">
        <v>0</v>
      </c>
      <c r="D13" s="4">
        <f>IF(C13&gt;=1,"Finished",IF(C13&lt;=0,"Not started","In progress"))</f>
        <v/>
      </c>
    </row>
    <row r="14">
      <c r="A14" s="34" t="n">
        <v>10</v>
      </c>
      <c r="B14" s="35" t="inlineStr">
        <is>
          <t>Tối ưu Index CSDL: Tránh Sequential Scan để giảm triệt để Disk I/O</t>
        </is>
      </c>
      <c r="C14" s="36" t="n"/>
      <c r="D14" s="34" t="inlineStr">
        <is>
          <t>In progress</t>
        </is>
      </c>
    </row>
    <row r="15">
      <c r="A15" s="34" t="n">
        <v>11</v>
      </c>
      <c r="B15" s="35" t="inlineStr">
        <is>
          <t>Tối ưu câu lệnh truy vấn: Triệt tiêu lỗi N+1 Query bằng JOIN hoặc batching</t>
        </is>
      </c>
      <c r="C15" s="36" t="n"/>
      <c r="D15" s="34" t="inlineStr">
        <is>
          <t>In progress</t>
        </is>
      </c>
    </row>
    <row r="16">
      <c r="A16" s="34" t="n">
        <v>12</v>
      </c>
      <c r="B16" s="35" t="inlineStr">
        <is>
          <t>Tối ưu Payload RESTful: Chỉ truy vấn các trường cần thiết, tránh payload chứa tất cả thông tin</t>
        </is>
      </c>
      <c r="C16" s="36" t="n"/>
      <c r="D16" s="34" t="inlineStr">
        <is>
          <t>In progress</t>
        </is>
      </c>
    </row>
    <row r="18" ht="30" customHeight="1">
      <c r="A18" s="7" t="inlineStr"/>
      <c r="B18" s="37" t="inlineStr">
        <is>
          <t>Tổng kết module (chỉ tính các feature phía trên)</t>
        </is>
      </c>
      <c r="C18" s="38">
        <f>AVERAGE(C4:C11)</f>
        <v/>
      </c>
      <c r="D18" s="39">
        <f>COUNTIF(D4:D11,"Finished")&amp;"/"&amp;COUNTA(D4:D11)&amp;" finished"</f>
        <v/>
      </c>
    </row>
    <row r="20">
      <c r="B20" s="2" t="inlineStr">
        <is>
          <t>Cách dùng: chỉ sửa cột C (Progress, 0%–100%). Cột D tự tính.</t>
        </is>
      </c>
    </row>
    <row r="21">
      <c r="B21" s="2" t="inlineStr">
        <is>
          <t>Ô tô vàng = chưa hoàn thiện; di chuột vào tên feature để xem ghi chú kỹ thuật.</t>
        </is>
      </c>
    </row>
    <row r="22">
      <c r="B22" s="2" t="inlineStr">
        <is>
          <t>Unit test và hạng mục tối ưu (nền xám) nằm ngoài vùng tổng kết, không ảnh hưởng Progress.</t>
        </is>
      </c>
    </row>
  </sheetData>
  <mergeCells count="3">
    <mergeCell ref="A1:D1"/>
    <mergeCell ref="A12:D12"/>
    <mergeCell ref="A2:D2"/>
  </mergeCells>
  <conditionalFormatting sqref="D4:D16">
    <cfRule type="cellIs" priority="1" operator="equal" dxfId="0">
      <formula>"Finished"</formula>
    </cfRule>
    <cfRule type="cellIs" priority="2" operator="equal" dxfId="1">
      <formula>"In progress"</formula>
    </cfRule>
    <cfRule type="cellIs" priority="3" operator="equal" dxfId="2">
      <formula>"Not started"</formula>
    </cfRule>
  </conditionalFormatting>
  <dataValidations count="1">
    <dataValidation sqref="C4:C11" showDropDown="0" showInputMessage="0" showErrorMessage="0" allowBlank="0" errorTitle="Gia tri khong hop le" error="Progress phai nam trong khoang 0% - 100%." type="decimal" operator="between">
      <formula1>0</formula1>
      <formula2>1</formula2>
    </dataValidation>
  </dataValidation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D27"/>
  <sheetViews>
    <sheetView workbookViewId="0">
      <pane ySplit="3" topLeftCell="A4" activePane="bottomLeft" state="frozen"/>
      <selection pane="bottomLeft" activeCell="A1" sqref="A1"/>
    </sheetView>
  </sheetViews>
  <sheetFormatPr baseColWidth="8" defaultRowHeight="15"/>
  <cols>
    <col width="6" customWidth="1" min="1" max="1"/>
    <col width="62" customWidth="1" min="2" max="2"/>
    <col width="12" customWidth="1" min="3" max="3"/>
    <col width="15" customWidth="1" min="4" max="4"/>
  </cols>
  <sheetData>
    <row r="1" ht="26" customHeight="1">
      <c r="A1" s="1" t="inlineStr">
        <is>
          <t>ATS - Job Posts</t>
        </is>
      </c>
    </row>
    <row r="2">
      <c r="A2" s="2" t="inlineStr">
        <is>
          <t>Nguồn: src/ats</t>
        </is>
      </c>
    </row>
    <row r="3" ht="20" customHeight="1">
      <c r="A3" s="3" t="inlineStr">
        <is>
          <t>No</t>
        </is>
      </c>
      <c r="B3" s="3" t="inlineStr">
        <is>
          <t>Feature Name</t>
        </is>
      </c>
      <c r="C3" s="3" t="inlineStr">
        <is>
          <t>Progress</t>
        </is>
      </c>
      <c r="D3" s="3" t="inlineStr">
        <is>
          <t>isDone</t>
        </is>
      </c>
    </row>
    <row r="4">
      <c r="A4" s="4" t="n">
        <v>1</v>
      </c>
      <c r="B4" s="29" t="inlineStr">
        <is>
          <t>AI gợi ý JD từ ghi chú thô</t>
        </is>
      </c>
      <c r="C4" s="6" t="n">
        <v>1</v>
      </c>
      <c r="D4" s="4">
        <f>IF(C4&gt;=1,"Finished",IF(C4&lt;=0,"Not started","In progress"))</f>
        <v/>
      </c>
    </row>
    <row r="5">
      <c r="A5" s="4" t="n">
        <v>2</v>
      </c>
      <c r="B5" s="29" t="inlineStr">
        <is>
          <t>Thư viện JD mẫu (templates)</t>
        </is>
      </c>
      <c r="C5" s="6" t="n">
        <v>1</v>
      </c>
      <c r="D5" s="4">
        <f>IF(C5&gt;=1,"Finished",IF(C5&lt;=0,"Not started","In progress"))</f>
        <v/>
      </c>
    </row>
    <row r="6">
      <c r="A6" s="4" t="n">
        <v>3</v>
      </c>
      <c r="B6" s="29" t="inlineStr">
        <is>
          <t>Tạo bản nháp JD</t>
        </is>
      </c>
      <c r="C6" s="6" t="n">
        <v>1</v>
      </c>
      <c r="D6" s="4">
        <f>IF(C6&gt;=1,"Finished",IF(C6&lt;=0,"Not started","In progress"))</f>
        <v/>
      </c>
    </row>
    <row r="7">
      <c r="A7" s="4" t="n">
        <v>4</v>
      </c>
      <c r="B7" s="29" t="inlineStr">
        <is>
          <t>Danh sách tin tuyển dụng theo RBAC</t>
        </is>
      </c>
      <c r="C7" s="6" t="n">
        <v>1</v>
      </c>
      <c r="D7" s="4">
        <f>IF(C7&gt;=1,"Finished",IF(C7&lt;=0,"Not started","In progress"))</f>
        <v/>
      </c>
    </row>
    <row r="8">
      <c r="A8" s="4" t="n">
        <v>5</v>
      </c>
      <c r="B8" s="29" t="inlineStr">
        <is>
          <t>Chi tiết tin theo id hoặc mã</t>
        </is>
      </c>
      <c r="C8" s="6" t="n">
        <v>1</v>
      </c>
      <c r="D8" s="4">
        <f>IF(C8&gt;=1,"Finished",IF(C8&lt;=0,"Not started","In progress"))</f>
        <v/>
      </c>
    </row>
    <row r="9">
      <c r="A9" s="4" t="n">
        <v>6</v>
      </c>
      <c r="B9" s="29" t="inlineStr">
        <is>
          <t>Cập nhật tin tuyển dụng</t>
        </is>
      </c>
      <c r="C9" s="6" t="n">
        <v>1</v>
      </c>
      <c r="D9" s="4">
        <f>IF(C9&gt;=1,"Finished",IF(C9&lt;=0,"Not started","In progress"))</f>
        <v/>
      </c>
    </row>
    <row r="10">
      <c r="A10" s="4" t="n">
        <v>7</v>
      </c>
      <c r="B10" s="29" t="inlineStr">
        <is>
          <t>Gửi duyệt trưởng bộ phận</t>
        </is>
      </c>
      <c r="C10" s="6" t="n">
        <v>1</v>
      </c>
      <c r="D10" s="4">
        <f>IF(C10&gt;=1,"Finished",IF(C10&lt;=0,"Not started","In progress"))</f>
        <v/>
      </c>
    </row>
    <row r="11">
      <c r="A11" s="4" t="n">
        <v>8</v>
      </c>
      <c r="B11" s="29" t="inlineStr">
        <is>
          <t>Trưởng bộ phận duyệt / từ chối</t>
        </is>
      </c>
      <c r="C11" s="6" t="n">
        <v>1</v>
      </c>
      <c r="D11" s="4">
        <f>IF(C11&gt;=1,"Finished",IF(C11&lt;=0,"Not started","In progress"))</f>
        <v/>
      </c>
    </row>
    <row r="12">
      <c r="A12" s="4" t="n">
        <v>9</v>
      </c>
      <c r="B12" s="29" t="inlineStr">
        <is>
          <t>Đăng tin (publish)</t>
        </is>
      </c>
      <c r="C12" s="6" t="n">
        <v>1</v>
      </c>
      <c r="D12" s="4">
        <f>IF(C12&gt;=1,"Finished",IF(C12&lt;=0,"Not started","In progress"))</f>
        <v/>
      </c>
    </row>
    <row r="13">
      <c r="A13" s="4" t="n">
        <v>10</v>
      </c>
      <c r="B13" s="29" t="inlineStr">
        <is>
          <t>Đóng tin (close)</t>
        </is>
      </c>
      <c r="C13" s="6" t="n">
        <v>1</v>
      </c>
      <c r="D13" s="4">
        <f>IF(C13&gt;=1,"Finished",IF(C13&lt;=0,"Not started","In progress"))</f>
        <v/>
      </c>
    </row>
    <row r="14">
      <c r="A14" s="4" t="n">
        <v>11</v>
      </c>
      <c r="B14" s="30" t="inlineStr">
        <is>
          <t>Phân phối tin lên nền tảng ngoài khi publish</t>
        </is>
      </c>
      <c r="C14" s="31" t="n">
        <v>0.35</v>
      </c>
      <c r="D14" s="4">
        <f>IF(C14&gt;=1,"Finished",IF(C14&lt;=0,"Not started","In progress"))</f>
        <v/>
      </c>
    </row>
    <row r="15">
      <c r="A15" s="4" t="n">
        <v>12</v>
      </c>
      <c r="B15" s="30" t="inlineStr">
        <is>
          <t>Thu hồi tin trên nền tảng ngoài khi đóng</t>
        </is>
      </c>
      <c r="C15" s="31" t="n">
        <v>0.3</v>
      </c>
      <c r="D15" s="4">
        <f>IF(C15&gt;=1,"Finished",IF(C15&lt;=0,"Not started","In progress"))</f>
        <v/>
      </c>
    </row>
    <row r="16">
      <c r="A16" s="4" t="n">
        <v>13</v>
      </c>
      <c r="B16" s="29" t="inlineStr">
        <is>
          <t>Phát sự kiện job_post.approval_requested / published</t>
        </is>
      </c>
      <c r="C16" s="6" t="n">
        <v>1</v>
      </c>
      <c r="D16" s="4">
        <f>IF(C16&gt;=1,"Finished",IF(C16&lt;=0,"Not started","In progress"))</f>
        <v/>
      </c>
    </row>
    <row r="17">
      <c r="A17" s="32" t="inlineStr">
        <is>
          <t>Không tính vào Progress — Unit test &amp; Tối ưu hoá tương lai</t>
        </is>
      </c>
      <c r="B17" s="33" t="n"/>
      <c r="C17" s="33" t="n"/>
      <c r="D17" s="33" t="n"/>
    </row>
    <row r="18">
      <c r="A18" s="4" t="n">
        <v>14</v>
      </c>
      <c r="B18" s="30" t="inlineStr">
        <is>
          <t>Unit test</t>
        </is>
      </c>
      <c r="C18" s="31" t="n">
        <v>0</v>
      </c>
      <c r="D18" s="4">
        <f>IF(C18&gt;=1,"Finished",IF(C18&lt;=0,"Not started","In progress"))</f>
        <v/>
      </c>
    </row>
    <row r="19">
      <c r="A19" s="34" t="n">
        <v>15</v>
      </c>
      <c r="B19" s="35" t="inlineStr">
        <is>
          <t>Tối ưu Index CSDL: Tránh Sequential Scan để giảm triệt để Disk I/O</t>
        </is>
      </c>
      <c r="C19" s="36" t="n"/>
      <c r="D19" s="34" t="inlineStr">
        <is>
          <t>In progress</t>
        </is>
      </c>
    </row>
    <row r="20">
      <c r="A20" s="34" t="n">
        <v>16</v>
      </c>
      <c r="B20" s="35" t="inlineStr">
        <is>
          <t>Tối ưu câu lệnh truy vấn: Triệt tiêu lỗi N+1 Query bằng JOIN hoặc batching</t>
        </is>
      </c>
      <c r="C20" s="36" t="n"/>
      <c r="D20" s="34" t="inlineStr">
        <is>
          <t>In progress</t>
        </is>
      </c>
    </row>
    <row r="21">
      <c r="A21" s="34" t="n">
        <v>17</v>
      </c>
      <c r="B21" s="35" t="inlineStr">
        <is>
          <t>Tối ưu Payload RESTful: Chỉ truy vấn các trường cần thiết, tránh payload chứa tất cả thông tin</t>
        </is>
      </c>
      <c r="C21" s="36" t="n"/>
      <c r="D21" s="34" t="inlineStr">
        <is>
          <t>In progress</t>
        </is>
      </c>
    </row>
    <row r="23" ht="30" customHeight="1">
      <c r="A23" s="7" t="inlineStr"/>
      <c r="B23" s="37" t="inlineStr">
        <is>
          <t>Tổng kết module (chỉ tính các feature phía trên)</t>
        </is>
      </c>
      <c r="C23" s="38">
        <f>AVERAGE(C4:C16)</f>
        <v/>
      </c>
      <c r="D23" s="39">
        <f>COUNTIF(D4:D16,"Finished")&amp;"/"&amp;COUNTA(D4:D16)&amp;" finished"</f>
        <v/>
      </c>
    </row>
    <row r="25">
      <c r="B25" s="2" t="inlineStr">
        <is>
          <t>Cách dùng: chỉ sửa cột C (Progress, 0%–100%). Cột D tự tính.</t>
        </is>
      </c>
    </row>
    <row r="26">
      <c r="B26" s="2" t="inlineStr">
        <is>
          <t>Ô tô vàng = chưa hoàn thiện; di chuột vào tên feature để xem ghi chú kỹ thuật.</t>
        </is>
      </c>
    </row>
    <row r="27">
      <c r="B27" s="2" t="inlineStr">
        <is>
          <t>Unit test và hạng mục tối ưu (nền xám) nằm ngoài vùng tổng kết, không ảnh hưởng Progress.</t>
        </is>
      </c>
    </row>
  </sheetData>
  <mergeCells count="3">
    <mergeCell ref="A1:D1"/>
    <mergeCell ref="A17:D17"/>
    <mergeCell ref="A2:D2"/>
  </mergeCells>
  <conditionalFormatting sqref="D4:D21">
    <cfRule type="cellIs" priority="1" operator="equal" dxfId="0">
      <formula>"Finished"</formula>
    </cfRule>
    <cfRule type="cellIs" priority="2" operator="equal" dxfId="1">
      <formula>"In progress"</formula>
    </cfRule>
    <cfRule type="cellIs" priority="3" operator="equal" dxfId="2">
      <formula>"Not started"</formula>
    </cfRule>
  </conditionalFormatting>
  <dataValidations count="1">
    <dataValidation sqref="C4:C16" showDropDown="0" showInputMessage="0" showErrorMessage="0" allowBlank="0" errorTitle="Gia tri khong hop le" error="Progress phai nam trong khoang 0% - 100%." type="decimal" operator="between">
      <formula1>0</formula1>
      <formula2>1</formula2>
    </dataValidation>
  </dataValidation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D19"/>
  <sheetViews>
    <sheetView workbookViewId="0">
      <pane ySplit="3" topLeftCell="A4" activePane="bottomLeft" state="frozen"/>
      <selection pane="bottomLeft" activeCell="A1" sqref="A1"/>
    </sheetView>
  </sheetViews>
  <sheetFormatPr baseColWidth="8" defaultRowHeight="15"/>
  <cols>
    <col width="6" customWidth="1" min="1" max="1"/>
    <col width="62" customWidth="1" min="2" max="2"/>
    <col width="12" customWidth="1" min="3" max="3"/>
    <col width="15" customWidth="1" min="4" max="4"/>
  </cols>
  <sheetData>
    <row r="1" ht="26" customHeight="1">
      <c r="A1" s="1" t="inlineStr">
        <is>
          <t>ATS - Candidates</t>
        </is>
      </c>
    </row>
    <row r="2">
      <c r="A2" s="2" t="inlineStr">
        <is>
          <t>Nguồn: src/ats</t>
        </is>
      </c>
    </row>
    <row r="3" ht="20" customHeight="1">
      <c r="A3" s="3" t="inlineStr">
        <is>
          <t>No</t>
        </is>
      </c>
      <c r="B3" s="3" t="inlineStr">
        <is>
          <t>Feature Name</t>
        </is>
      </c>
      <c r="C3" s="3" t="inlineStr">
        <is>
          <t>Progress</t>
        </is>
      </c>
      <c r="D3" s="3" t="inlineStr">
        <is>
          <t>isDone</t>
        </is>
      </c>
    </row>
    <row r="4">
      <c r="A4" s="4" t="n">
        <v>1</v>
      </c>
      <c r="B4" s="29" t="inlineStr">
        <is>
          <t>Danh sách hồ sơ ứng viên theo RBAC</t>
        </is>
      </c>
      <c r="C4" s="6" t="n">
        <v>1</v>
      </c>
      <c r="D4" s="4">
        <f>IF(C4&gt;=1,"Finished",IF(C4&lt;=0,"Not started","In progress"))</f>
        <v/>
      </c>
    </row>
    <row r="5">
      <c r="A5" s="4" t="n">
        <v>2</v>
      </c>
      <c r="B5" s="29" t="inlineStr">
        <is>
          <t>Chi tiết hồ sơ ứng viên</t>
        </is>
      </c>
      <c r="C5" s="6" t="n">
        <v>1</v>
      </c>
      <c r="D5" s="4">
        <f>IF(C5&gt;=1,"Finished",IF(C5&lt;=0,"Not started","In progress"))</f>
        <v/>
      </c>
    </row>
    <row r="6">
      <c r="A6" s="4" t="n">
        <v>3</v>
      </c>
      <c r="B6" s="29" t="inlineStr">
        <is>
          <t>Tìm hoặc tạo hồ sơ ứng viên</t>
        </is>
      </c>
      <c r="C6" s="6" t="n">
        <v>1</v>
      </c>
      <c r="D6" s="4">
        <f>IF(C6&gt;=1,"Finished",IF(C6&lt;=0,"Not started","In progress"))</f>
        <v/>
      </c>
    </row>
    <row r="7">
      <c r="A7" s="4" t="n">
        <v>4</v>
      </c>
      <c r="B7" s="29" t="inlineStr">
        <is>
          <t>Tìm hoặc tạo hồ sơ trong transaction (EntityManager)</t>
        </is>
      </c>
      <c r="C7" s="6" t="n">
        <v>1</v>
      </c>
      <c r="D7" s="4">
        <f>IF(C7&gt;=1,"Finished",IF(C7&lt;=0,"Not started","In progress"))</f>
        <v/>
      </c>
    </row>
    <row r="8">
      <c r="A8" s="4" t="n">
        <v>5</v>
      </c>
      <c r="B8" s="29" t="inlineStr">
        <is>
          <t>Khử trùng lặp ứng viên theo email / số điện thoại</t>
        </is>
      </c>
      <c r="C8" s="6" t="n">
        <v>1</v>
      </c>
      <c r="D8" s="4">
        <f>IF(C8&gt;=1,"Finished",IF(C8&lt;=0,"Not started","In progress"))</f>
        <v/>
      </c>
    </row>
    <row r="9">
      <c r="A9" s="32" t="inlineStr">
        <is>
          <t>Không tính vào Progress — Unit test &amp; Tối ưu hoá tương lai</t>
        </is>
      </c>
      <c r="B9" s="33" t="n"/>
      <c r="C9" s="33" t="n"/>
      <c r="D9" s="33" t="n"/>
    </row>
    <row r="10">
      <c r="A10" s="4" t="n">
        <v>6</v>
      </c>
      <c r="B10" s="30" t="inlineStr">
        <is>
          <t>Unit test</t>
        </is>
      </c>
      <c r="C10" s="31" t="n">
        <v>0</v>
      </c>
      <c r="D10" s="4">
        <f>IF(C10&gt;=1,"Finished",IF(C10&lt;=0,"Not started","In progress"))</f>
        <v/>
      </c>
    </row>
    <row r="11">
      <c r="A11" s="34" t="n">
        <v>7</v>
      </c>
      <c r="B11" s="35" t="inlineStr">
        <is>
          <t>Tối ưu Index CSDL: Tránh Sequential Scan để giảm triệt để Disk I/O</t>
        </is>
      </c>
      <c r="C11" s="36" t="n"/>
      <c r="D11" s="34" t="inlineStr">
        <is>
          <t>In progress</t>
        </is>
      </c>
    </row>
    <row r="12">
      <c r="A12" s="34" t="n">
        <v>8</v>
      </c>
      <c r="B12" s="35" t="inlineStr">
        <is>
          <t>Tối ưu câu lệnh truy vấn: Triệt tiêu lỗi N+1 Query bằng JOIN hoặc batching</t>
        </is>
      </c>
      <c r="C12" s="36" t="n"/>
      <c r="D12" s="34" t="inlineStr">
        <is>
          <t>In progress</t>
        </is>
      </c>
    </row>
    <row r="13">
      <c r="A13" s="34" t="n">
        <v>9</v>
      </c>
      <c r="B13" s="35" t="inlineStr">
        <is>
          <t>Tối ưu Payload RESTful: Chỉ truy vấn các trường cần thiết, tránh payload chứa tất cả thông tin</t>
        </is>
      </c>
      <c r="C13" s="36" t="n"/>
      <c r="D13" s="34" t="inlineStr">
        <is>
          <t>In progress</t>
        </is>
      </c>
    </row>
    <row r="15" ht="30" customHeight="1">
      <c r="A15" s="7" t="inlineStr"/>
      <c r="B15" s="37" t="inlineStr">
        <is>
          <t>Tổng kết module (chỉ tính các feature phía trên)</t>
        </is>
      </c>
      <c r="C15" s="38">
        <f>AVERAGE(C4:C8)</f>
        <v/>
      </c>
      <c r="D15" s="39">
        <f>COUNTIF(D4:D8,"Finished")&amp;"/"&amp;COUNTA(D4:D8)&amp;" finished"</f>
        <v/>
      </c>
    </row>
    <row r="17">
      <c r="B17" s="2" t="inlineStr">
        <is>
          <t>Cách dùng: chỉ sửa cột C (Progress, 0%–100%). Cột D tự tính.</t>
        </is>
      </c>
    </row>
    <row r="18">
      <c r="B18" s="2" t="inlineStr">
        <is>
          <t>Ô tô vàng = chưa hoàn thiện; di chuột vào tên feature để xem ghi chú kỹ thuật.</t>
        </is>
      </c>
    </row>
    <row r="19">
      <c r="B19" s="2" t="inlineStr">
        <is>
          <t>Unit test và hạng mục tối ưu (nền xám) nằm ngoài vùng tổng kết, không ảnh hưởng Progress.</t>
        </is>
      </c>
    </row>
  </sheetData>
  <mergeCells count="3">
    <mergeCell ref="A1:D1"/>
    <mergeCell ref="A9:D9"/>
    <mergeCell ref="A2:D2"/>
  </mergeCells>
  <conditionalFormatting sqref="D4:D13">
    <cfRule type="cellIs" priority="1" operator="equal" dxfId="0">
      <formula>"Finished"</formula>
    </cfRule>
    <cfRule type="cellIs" priority="2" operator="equal" dxfId="1">
      <formula>"In progress"</formula>
    </cfRule>
    <cfRule type="cellIs" priority="3" operator="equal" dxfId="2">
      <formula>"Not started"</formula>
    </cfRule>
  </conditionalFormatting>
  <dataValidations count="1">
    <dataValidation sqref="C4:C8" showDropDown="0" showInputMessage="0" showErrorMessage="0" allowBlank="0" errorTitle="Gia tri khong hop le" error="Progress phai nam trong khoang 0% - 100%." type="decimal" operator="between">
      <formula1>0</formula1>
      <formula2>1</formula2>
    </dataValidation>
  </dataValidations>
  <pageMargins left="0.75" right="0.75" top="1" bottom="1" header="0.5" footer="0.5"/>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D28"/>
  <sheetViews>
    <sheetView workbookViewId="0">
      <pane ySplit="3" topLeftCell="A4" activePane="bottomLeft" state="frozen"/>
      <selection pane="bottomLeft" activeCell="A1" sqref="A1"/>
    </sheetView>
  </sheetViews>
  <sheetFormatPr baseColWidth="8" defaultRowHeight="15"/>
  <cols>
    <col width="6" customWidth="1" min="1" max="1"/>
    <col width="62" customWidth="1" min="2" max="2"/>
    <col width="12" customWidth="1" min="3" max="3"/>
    <col width="15" customWidth="1" min="4" max="4"/>
  </cols>
  <sheetData>
    <row r="1" ht="26" customHeight="1">
      <c r="A1" s="1" t="inlineStr">
        <is>
          <t>ATS - Submissions</t>
        </is>
      </c>
    </row>
    <row r="2">
      <c r="A2" s="2" t="inlineStr">
        <is>
          <t>Nguồn: src/ats</t>
        </is>
      </c>
    </row>
    <row r="3" ht="20" customHeight="1">
      <c r="A3" s="3" t="inlineStr">
        <is>
          <t>No</t>
        </is>
      </c>
      <c r="B3" s="3" t="inlineStr">
        <is>
          <t>Feature Name</t>
        </is>
      </c>
      <c r="C3" s="3" t="inlineStr">
        <is>
          <t>Progress</t>
        </is>
      </c>
      <c r="D3" s="3" t="inlineStr">
        <is>
          <t>isDone</t>
        </is>
      </c>
    </row>
    <row r="4">
      <c r="A4" s="4" t="n">
        <v>1</v>
      </c>
      <c r="B4" s="29" t="inlineStr">
        <is>
          <t>Nộp hồ sơ từ portal công khai</t>
        </is>
      </c>
      <c r="C4" s="6" t="n">
        <v>1</v>
      </c>
      <c r="D4" s="4">
        <f>IF(C4&gt;=1,"Finished",IF(C4&lt;=0,"Not started","In progress"))</f>
        <v/>
      </c>
    </row>
    <row r="5">
      <c r="A5" s="4" t="n">
        <v>2</v>
      </c>
      <c r="B5" s="29" t="inlineStr">
        <is>
          <t>Tiếp nhận webhook từ nền tảng tuyển dụng</t>
        </is>
      </c>
      <c r="C5" s="6" t="n">
        <v>1</v>
      </c>
      <c r="D5" s="4">
        <f>IF(C5&gt;=1,"Finished",IF(C5&lt;=0,"Not started","In progress"))</f>
        <v/>
      </c>
    </row>
    <row r="6">
      <c r="A6" s="4" t="n">
        <v>3</v>
      </c>
      <c r="B6" s="29" t="inlineStr">
        <is>
          <t>Nộp hồ sơ thủ công kèm file CV</t>
        </is>
      </c>
      <c r="C6" s="6" t="n">
        <v>1</v>
      </c>
      <c r="D6" s="4">
        <f>IF(C6&gt;=1,"Finished",IF(C6&lt;=0,"Not started","In progress"))</f>
        <v/>
      </c>
    </row>
    <row r="7">
      <c r="A7" s="4" t="n">
        <v>4</v>
      </c>
      <c r="B7" s="29" t="inlineStr">
        <is>
          <t>Upload và nạp hồ sơ trực tiếp</t>
        </is>
      </c>
      <c r="C7" s="6" t="n">
        <v>1</v>
      </c>
      <c r="D7" s="4">
        <f>IF(C7&gt;=1,"Finished",IF(C7&lt;=0,"Not started","In progress"))</f>
        <v/>
      </c>
    </row>
    <row r="8">
      <c r="A8" s="4" t="n">
        <v>5</v>
      </c>
      <c r="B8" s="29" t="inlineStr">
        <is>
          <t>Tạo bản ghi ApplicationSubmission</t>
        </is>
      </c>
      <c r="C8" s="6" t="n">
        <v>1</v>
      </c>
      <c r="D8" s="4">
        <f>IF(C8&gt;=1,"Finished",IF(C8&lt;=0,"Not started","In progress"))</f>
        <v/>
      </c>
    </row>
    <row r="9">
      <c r="A9" s="4" t="n">
        <v>6</v>
      </c>
      <c r="B9" s="29" t="inlineStr">
        <is>
          <t>Tìm hoặc tạo JobApplication</t>
        </is>
      </c>
      <c r="C9" s="6" t="n">
        <v>1</v>
      </c>
      <c r="D9" s="4">
        <f>IF(C9&gt;=1,"Finished",IF(C9&lt;=0,"Not started","In progress"))</f>
        <v/>
      </c>
    </row>
    <row r="10">
      <c r="A10" s="4" t="n">
        <v>7</v>
      </c>
      <c r="B10" s="29" t="inlineStr">
        <is>
          <t>Bảng pipeline ứng tuyển theo tin tuyển dụng</t>
        </is>
      </c>
      <c r="C10" s="6" t="n">
        <v>1</v>
      </c>
      <c r="D10" s="4">
        <f>IF(C10&gt;=1,"Finished",IF(C10&lt;=0,"Not started","In progress"))</f>
        <v/>
      </c>
    </row>
    <row r="11">
      <c r="A11" s="4" t="n">
        <v>8</v>
      </c>
      <c r="B11" s="29" t="inlineStr">
        <is>
          <t>Chuyển giai đoạn ứng tuyển (update phase)</t>
        </is>
      </c>
      <c r="C11" s="6" t="n">
        <v>1</v>
      </c>
      <c r="D11" s="4">
        <f>IF(C11&gt;=1,"Finished",IF(C11&lt;=0,"Not started","In progress"))</f>
        <v/>
      </c>
    </row>
    <row r="12">
      <c r="A12" s="4" t="n">
        <v>9</v>
      </c>
      <c r="B12" s="29" t="inlineStr">
        <is>
          <t>Danh sách submission của một đơn ứng tuyển</t>
        </is>
      </c>
      <c r="C12" s="6" t="n">
        <v>1</v>
      </c>
      <c r="D12" s="4">
        <f>IF(C12&gt;=1,"Finished",IF(C12&lt;=0,"Not started","In progress"))</f>
        <v/>
      </c>
    </row>
    <row r="13">
      <c r="A13" s="4" t="n">
        <v>10</v>
      </c>
      <c r="B13" s="29" t="inlineStr">
        <is>
          <t>Đưa ứng viên từ talent pool vào tin mới</t>
        </is>
      </c>
      <c r="C13" s="6" t="n">
        <v>1</v>
      </c>
      <c r="D13" s="4">
        <f>IF(C13&gt;=1,"Finished",IF(C13&lt;=0,"Not started","In progress"))</f>
        <v/>
      </c>
    </row>
    <row r="14">
      <c r="A14" s="4" t="n">
        <v>11</v>
      </c>
      <c r="B14" s="29" t="inlineStr">
        <is>
          <t>Xoá CV ngay lập tức (purge theo yêu cầu)</t>
        </is>
      </c>
      <c r="C14" s="6" t="n">
        <v>1</v>
      </c>
      <c r="D14" s="4">
        <f>IF(C14&gt;=1,"Finished",IF(C14&lt;=0,"Not started","In progress"))</f>
        <v/>
      </c>
    </row>
    <row r="15">
      <c r="A15" s="4" t="n">
        <v>12</v>
      </c>
      <c r="B15" s="29" t="inlineStr">
        <is>
          <t>Processor BullMQ xử lý upload CV</t>
        </is>
      </c>
      <c r="C15" s="6" t="n">
        <v>1</v>
      </c>
      <c r="D15" s="4">
        <f>IF(C15&gt;=1,"Finished",IF(C15&lt;=0,"Not started","In progress"))</f>
        <v/>
      </c>
    </row>
    <row r="16">
      <c r="A16" s="4" t="n">
        <v>13</v>
      </c>
      <c r="B16" s="29" t="inlineStr">
        <is>
          <t>WebSocket báo tiến độ upload</t>
        </is>
      </c>
      <c r="C16" s="6" t="n">
        <v>1</v>
      </c>
      <c r="D16" s="4">
        <f>IF(C16&gt;=1,"Finished",IF(C16&lt;=0,"Not started","In progress"))</f>
        <v/>
      </c>
    </row>
    <row r="17">
      <c r="A17" s="4" t="n">
        <v>14</v>
      </c>
      <c r="B17" s="30" t="inlineStr">
        <is>
          <t>Lịch phỏng vấn &amp; phiếu đánh giá phỏng vấn</t>
        </is>
      </c>
      <c r="C17" s="31" t="n">
        <v>0</v>
      </c>
      <c r="D17" s="4">
        <f>IF(C17&gt;=1,"Finished",IF(C17&lt;=0,"Not started","In progress"))</f>
        <v/>
      </c>
    </row>
    <row r="18">
      <c r="A18" s="32" t="inlineStr">
        <is>
          <t>Không tính vào Progress — Unit test &amp; Tối ưu hoá tương lai</t>
        </is>
      </c>
      <c r="B18" s="33" t="n"/>
      <c r="C18" s="33" t="n"/>
      <c r="D18" s="33" t="n"/>
    </row>
    <row r="19">
      <c r="A19" s="4" t="n">
        <v>15</v>
      </c>
      <c r="B19" s="30" t="inlineStr">
        <is>
          <t>Unit test</t>
        </is>
      </c>
      <c r="C19" s="31" t="n">
        <v>0</v>
      </c>
      <c r="D19" s="4">
        <f>IF(C19&gt;=1,"Finished",IF(C19&lt;=0,"Not started","In progress"))</f>
        <v/>
      </c>
    </row>
    <row r="20">
      <c r="A20" s="34" t="n">
        <v>16</v>
      </c>
      <c r="B20" s="35" t="inlineStr">
        <is>
          <t>Tối ưu Index CSDL: Tránh Sequential Scan để giảm triệt để Disk I/O</t>
        </is>
      </c>
      <c r="C20" s="36" t="n"/>
      <c r="D20" s="34" t="inlineStr">
        <is>
          <t>In progress</t>
        </is>
      </c>
    </row>
    <row r="21">
      <c r="A21" s="34" t="n">
        <v>17</v>
      </c>
      <c r="B21" s="35" t="inlineStr">
        <is>
          <t>Tối ưu câu lệnh truy vấn: Triệt tiêu lỗi N+1 Query bằng JOIN hoặc batching</t>
        </is>
      </c>
      <c r="C21" s="36" t="n"/>
      <c r="D21" s="34" t="inlineStr">
        <is>
          <t>In progress</t>
        </is>
      </c>
    </row>
    <row r="22">
      <c r="A22" s="34" t="n">
        <v>18</v>
      </c>
      <c r="B22" s="35" t="inlineStr">
        <is>
          <t>Tối ưu Payload RESTful: Chỉ truy vấn các trường cần thiết, tránh payload chứa tất cả thông tin</t>
        </is>
      </c>
      <c r="C22" s="36" t="n"/>
      <c r="D22" s="34" t="inlineStr">
        <is>
          <t>In progress</t>
        </is>
      </c>
    </row>
    <row r="24" ht="30" customHeight="1">
      <c r="A24" s="7" t="inlineStr"/>
      <c r="B24" s="37" t="inlineStr">
        <is>
          <t>Tổng kết module (chỉ tính các feature phía trên)</t>
        </is>
      </c>
      <c r="C24" s="38">
        <f>AVERAGE(C4:C17)</f>
        <v/>
      </c>
      <c r="D24" s="39">
        <f>COUNTIF(D4:D17,"Finished")&amp;"/"&amp;COUNTA(D4:D17)&amp;" finished"</f>
        <v/>
      </c>
    </row>
    <row r="26">
      <c r="B26" s="2" t="inlineStr">
        <is>
          <t>Cách dùng: chỉ sửa cột C (Progress, 0%–100%). Cột D tự tính.</t>
        </is>
      </c>
    </row>
    <row r="27">
      <c r="B27" s="2" t="inlineStr">
        <is>
          <t>Ô tô vàng = chưa hoàn thiện; di chuột vào tên feature để xem ghi chú kỹ thuật.</t>
        </is>
      </c>
    </row>
    <row r="28">
      <c r="B28" s="2" t="inlineStr">
        <is>
          <t>Unit test và hạng mục tối ưu (nền xám) nằm ngoài vùng tổng kết, không ảnh hưởng Progress.</t>
        </is>
      </c>
    </row>
  </sheetData>
  <mergeCells count="3">
    <mergeCell ref="A1:D1"/>
    <mergeCell ref="A18:D18"/>
    <mergeCell ref="A2:D2"/>
  </mergeCells>
  <conditionalFormatting sqref="D4:D22">
    <cfRule type="cellIs" priority="1" operator="equal" dxfId="0">
      <formula>"Finished"</formula>
    </cfRule>
    <cfRule type="cellIs" priority="2" operator="equal" dxfId="1">
      <formula>"In progress"</formula>
    </cfRule>
    <cfRule type="cellIs" priority="3" operator="equal" dxfId="2">
      <formula>"Not started"</formula>
    </cfRule>
  </conditionalFormatting>
  <dataValidations count="1">
    <dataValidation sqref="C4:C17" showDropDown="0" showInputMessage="0" showErrorMessage="0" allowBlank="0" errorTitle="Gia tri khong hop le" error="Progress phai nam trong khoang 0% - 100%." type="decimal" operator="between">
      <formula1>0</formula1>
      <formula2>1</formula2>
    </dataValidation>
  </dataValidations>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D23"/>
  <sheetViews>
    <sheetView workbookViewId="0">
      <pane ySplit="3" topLeftCell="A4" activePane="bottomLeft" state="frozen"/>
      <selection pane="bottomLeft" activeCell="A1" sqref="A1"/>
    </sheetView>
  </sheetViews>
  <sheetFormatPr baseColWidth="8" defaultRowHeight="15"/>
  <cols>
    <col width="6" customWidth="1" min="1" max="1"/>
    <col width="62" customWidth="1" min="2" max="2"/>
    <col width="12" customWidth="1" min="3" max="3"/>
    <col width="15" customWidth="1" min="4" max="4"/>
  </cols>
  <sheetData>
    <row r="1" ht="26" customHeight="1">
      <c r="A1" s="1" t="inlineStr">
        <is>
          <t>ATS - CV Screening (AI)</t>
        </is>
      </c>
    </row>
    <row r="2">
      <c r="A2" s="2" t="inlineStr">
        <is>
          <t>Nguồn: src/ats</t>
        </is>
      </c>
    </row>
    <row r="3" ht="20" customHeight="1">
      <c r="A3" s="3" t="inlineStr">
        <is>
          <t>No</t>
        </is>
      </c>
      <c r="B3" s="3" t="inlineStr">
        <is>
          <t>Feature Name</t>
        </is>
      </c>
      <c r="C3" s="3" t="inlineStr">
        <is>
          <t>Progress</t>
        </is>
      </c>
      <c r="D3" s="3" t="inlineStr">
        <is>
          <t>isDone</t>
        </is>
      </c>
    </row>
    <row r="4">
      <c r="A4" s="4" t="n">
        <v>1</v>
      </c>
      <c r="B4" s="29" t="inlineStr">
        <is>
          <t>Trích xuất text từ CV dạng PDF</t>
        </is>
      </c>
      <c r="C4" s="6" t="n">
        <v>1</v>
      </c>
      <c r="D4" s="4">
        <f>IF(C4&gt;=1,"Finished",IF(C4&lt;=0,"Not started","In progress"))</f>
        <v/>
      </c>
    </row>
    <row r="5">
      <c r="A5" s="4" t="n">
        <v>2</v>
      </c>
      <c r="B5" s="29" t="inlineStr">
        <is>
          <t>Trích xuất text từ CV dạng DOCX</t>
        </is>
      </c>
      <c r="C5" s="6" t="n">
        <v>1</v>
      </c>
      <c r="D5" s="4">
        <f>IF(C5&gt;=1,"Finished",IF(C5&lt;=0,"Not started","In progress"))</f>
        <v/>
      </c>
    </row>
    <row r="6">
      <c r="A6" s="4" t="n">
        <v>3</v>
      </c>
      <c r="B6" s="29" t="inlineStr">
        <is>
          <t>AI sinh nội dung JD từ prompt</t>
        </is>
      </c>
      <c r="C6" s="6" t="n">
        <v>1</v>
      </c>
      <c r="D6" s="4">
        <f>IF(C6&gt;=1,"Finished",IF(C6&lt;=0,"Not started","In progress"))</f>
        <v/>
      </c>
    </row>
    <row r="7">
      <c r="A7" s="4" t="n">
        <v>4</v>
      </c>
      <c r="B7" s="29" t="inlineStr">
        <is>
          <t>AI trích xuất từ khoá / thông tin ứng viên từ CV</t>
        </is>
      </c>
      <c r="C7" s="6" t="n">
        <v>1</v>
      </c>
      <c r="D7" s="4">
        <f>IF(C7&gt;=1,"Finished",IF(C7&lt;=0,"Not started","In progress"))</f>
        <v/>
      </c>
    </row>
    <row r="8">
      <c r="A8" s="4" t="n">
        <v>5</v>
      </c>
      <c r="B8" s="29" t="inlineStr">
        <is>
          <t>AI chấm điểm CV so với JD</t>
        </is>
      </c>
      <c r="C8" s="6" t="n">
        <v>1</v>
      </c>
      <c r="D8" s="4">
        <f>IF(C8&gt;=1,"Finished",IF(C8&lt;=0,"Not started","In progress"))</f>
        <v/>
      </c>
    </row>
    <row r="9">
      <c r="A9" s="4" t="n">
        <v>6</v>
      </c>
      <c r="B9" s="29" t="inlineStr">
        <is>
          <t>Ghi nhận kết quả đánh giá (commitScreeningEvaluation)</t>
        </is>
      </c>
      <c r="C9" s="6" t="n">
        <v>1</v>
      </c>
      <c r="D9" s="4">
        <f>IF(C9&gt;=1,"Finished",IF(C9&lt;=0,"Not started","In progress"))</f>
        <v/>
      </c>
    </row>
    <row r="10">
      <c r="A10" s="4" t="n">
        <v>7</v>
      </c>
      <c r="B10" s="29" t="inlineStr">
        <is>
          <t>Áp kết quả sàng lọc vào pipeline</t>
        </is>
      </c>
      <c r="C10" s="6" t="n">
        <v>1</v>
      </c>
      <c r="D10" s="4">
        <f>IF(C10&gt;=1,"Finished",IF(C10&lt;=0,"Not started","In progress"))</f>
        <v/>
      </c>
    </row>
    <row r="11">
      <c r="A11" s="4" t="n">
        <v>8</v>
      </c>
      <c r="B11" s="29" t="inlineStr">
        <is>
          <t>Chấm lại / thử lại sàng lọc (rescreen)</t>
        </is>
      </c>
      <c r="C11" s="6" t="n">
        <v>1</v>
      </c>
      <c r="D11" s="4">
        <f>IF(C11&gt;=1,"Finished",IF(C11&lt;=0,"Not started","In progress"))</f>
        <v/>
      </c>
    </row>
    <row r="12">
      <c r="A12" s="4" t="n">
        <v>9</v>
      </c>
      <c r="B12" s="29" t="inlineStr">
        <is>
          <t>Consumer hàng đợi BullMQ cho sàng lọc CV</t>
        </is>
      </c>
      <c r="C12" s="6" t="n">
        <v>1</v>
      </c>
      <c r="D12" s="4">
        <f>IF(C12&gt;=1,"Finished",IF(C12&lt;=0,"Not started","In progress"))</f>
        <v/>
      </c>
    </row>
    <row r="13">
      <c r="A13" s="4" t="n">
        <v>10</v>
      </c>
      <c r="B13" s="29" t="inlineStr">
        <is>
          <t>Listener sự kiện ats.cv_submitted</t>
        </is>
      </c>
      <c r="C13" s="6" t="n">
        <v>1</v>
      </c>
      <c r="D13" s="4">
        <f>IF(C13&gt;=1,"Finished",IF(C13&lt;=0,"Not started","In progress"))</f>
        <v/>
      </c>
    </row>
    <row r="14">
      <c r="A14" s="4" t="n">
        <v>11</v>
      </c>
      <c r="B14" s="29" t="inlineStr">
        <is>
          <t>Kích hoạt thông báo khi ứng viên đạt điểm cao</t>
        </is>
      </c>
      <c r="C14" s="6" t="n">
        <v>1</v>
      </c>
      <c r="D14" s="4">
        <f>IF(C14&gt;=1,"Finished",IF(C14&lt;=0,"Not started","In progress"))</f>
        <v/>
      </c>
    </row>
    <row r="15">
      <c r="A15" s="4" t="n">
        <v>12</v>
      </c>
      <c r="B15" s="29" t="inlineStr">
        <is>
          <t>Hỗ trợ đa nhà cung cấp AI (Anthropic / Google GenAI)</t>
        </is>
      </c>
      <c r="C15" s="6" t="n">
        <v>1</v>
      </c>
      <c r="D15" s="4">
        <f>IF(C15&gt;=1,"Finished",IF(C15&lt;=0,"Not started","In progress"))</f>
        <v/>
      </c>
    </row>
    <row r="16">
      <c r="A16" s="32" t="inlineStr">
        <is>
          <t>Không tính vào Progress — Unit test &amp; Tối ưu hoá tương lai</t>
        </is>
      </c>
      <c r="B16" s="33" t="n"/>
      <c r="C16" s="33" t="n"/>
      <c r="D16" s="33" t="n"/>
    </row>
    <row r="17">
      <c r="A17" s="4" t="n">
        <v>13</v>
      </c>
      <c r="B17" s="30" t="inlineStr">
        <is>
          <t>Unit test</t>
        </is>
      </c>
      <c r="C17" s="31" t="n">
        <v>0</v>
      </c>
      <c r="D17" s="4">
        <f>IF(C17&gt;=1,"Finished",IF(C17&lt;=0,"Not started","In progress"))</f>
        <v/>
      </c>
    </row>
    <row r="19" ht="30" customHeight="1">
      <c r="A19" s="7" t="inlineStr"/>
      <c r="B19" s="37" t="inlineStr">
        <is>
          <t>Tổng kết module (chỉ tính các feature phía trên)</t>
        </is>
      </c>
      <c r="C19" s="38">
        <f>AVERAGE(C4:C15)</f>
        <v/>
      </c>
      <c r="D19" s="39">
        <f>COUNTIF(D4:D15,"Finished")&amp;"/"&amp;COUNTA(D4:D15)&amp;" finished"</f>
        <v/>
      </c>
    </row>
    <row r="21">
      <c r="B21" s="2" t="inlineStr">
        <is>
          <t>Cách dùng: chỉ sửa cột C (Progress, 0%–100%). Cột D tự tính.</t>
        </is>
      </c>
    </row>
    <row r="22">
      <c r="B22" s="2" t="inlineStr">
        <is>
          <t>Ô tô vàng = chưa hoàn thiện; di chuột vào tên feature để xem ghi chú kỹ thuật.</t>
        </is>
      </c>
    </row>
    <row r="23">
      <c r="B23" s="2" t="inlineStr">
        <is>
          <t>Unit test và hạng mục tối ưu (nền xám) nằm ngoài vùng tổng kết, không ảnh hưởng Progress.</t>
        </is>
      </c>
    </row>
  </sheetData>
  <mergeCells count="3">
    <mergeCell ref="A1:D1"/>
    <mergeCell ref="A16:D16"/>
    <mergeCell ref="A2:D2"/>
  </mergeCells>
  <conditionalFormatting sqref="D4:D17">
    <cfRule type="cellIs" priority="1" operator="equal" dxfId="0">
      <formula>"Finished"</formula>
    </cfRule>
    <cfRule type="cellIs" priority="2" operator="equal" dxfId="1">
      <formula>"In progress"</formula>
    </cfRule>
    <cfRule type="cellIs" priority="3" operator="equal" dxfId="2">
      <formula>"Not started"</formula>
    </cfRule>
  </conditionalFormatting>
  <dataValidations count="1">
    <dataValidation sqref="C4:C15" showDropDown="0" showInputMessage="0" showErrorMessage="0" allowBlank="0" errorTitle="Gia tri khong hop le" error="Progress phai nam trong khoang 0% - 100%." type="decimal" operator="between">
      <formula1>0</formula1>
      <formula2>1</formula2>
    </dataValidation>
  </dataValidations>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D21"/>
  <sheetViews>
    <sheetView workbookViewId="0">
      <pane ySplit="3" topLeftCell="A4" activePane="bottomLeft" state="frozen"/>
      <selection pane="bottomLeft" activeCell="A1" sqref="A1"/>
    </sheetView>
  </sheetViews>
  <sheetFormatPr baseColWidth="8" defaultRowHeight="15"/>
  <cols>
    <col width="6" customWidth="1" min="1" max="1"/>
    <col width="62" customWidth="1" min="2" max="2"/>
    <col width="12" customWidth="1" min="3" max="3"/>
    <col width="15" customWidth="1" min="4" max="4"/>
  </cols>
  <sheetData>
    <row r="1" ht="26" customHeight="1">
      <c r="A1" s="1" t="inlineStr">
        <is>
          <t>ATS - Storage (S3)</t>
        </is>
      </c>
    </row>
    <row r="2">
      <c r="A2" s="2" t="inlineStr">
        <is>
          <t>Nguồn: src/ats</t>
        </is>
      </c>
    </row>
    <row r="3" ht="20" customHeight="1">
      <c r="A3" s="3" t="inlineStr">
        <is>
          <t>No</t>
        </is>
      </c>
      <c r="B3" s="3" t="inlineStr">
        <is>
          <t>Feature Name</t>
        </is>
      </c>
      <c r="C3" s="3" t="inlineStr">
        <is>
          <t>Progress</t>
        </is>
      </c>
      <c r="D3" s="3" t="inlineStr">
        <is>
          <t>isDone</t>
        </is>
      </c>
    </row>
    <row r="4">
      <c r="A4" s="4" t="n">
        <v>1</v>
      </c>
      <c r="B4" s="29" t="inlineStr">
        <is>
          <t>Cấu hình S3 client</t>
        </is>
      </c>
      <c r="C4" s="6" t="n">
        <v>1</v>
      </c>
      <c r="D4" s="4">
        <f>IF(C4&gt;=1,"Finished",IF(C4&lt;=0,"Not started","In progress"))</f>
        <v/>
      </c>
    </row>
    <row r="5">
      <c r="A5" s="4" t="n">
        <v>2</v>
      </c>
      <c r="B5" s="29" t="inlineStr">
        <is>
          <t>Upload CV theo stream lên S3</t>
        </is>
      </c>
      <c r="C5" s="6" t="n">
        <v>1</v>
      </c>
      <c r="D5" s="4">
        <f>IF(C5&gt;=1,"Finished",IF(C5&lt;=0,"Not started","In progress"))</f>
        <v/>
      </c>
    </row>
    <row r="6">
      <c r="A6" s="4" t="n">
        <v>3</v>
      </c>
      <c r="B6" s="29" t="inlineStr">
        <is>
          <t>Lấy buffer file từ S3</t>
        </is>
      </c>
      <c r="C6" s="6" t="n">
        <v>1</v>
      </c>
      <c r="D6" s="4">
        <f>IF(C6&gt;=1,"Finished",IF(C6&lt;=0,"Not started","In progress"))</f>
        <v/>
      </c>
    </row>
    <row r="7">
      <c r="A7" s="4" t="n">
        <v>4</v>
      </c>
      <c r="B7" s="29" t="inlineStr">
        <is>
          <t>Kiểm tra file tồn tại</t>
        </is>
      </c>
      <c r="C7" s="6" t="n">
        <v>1</v>
      </c>
      <c r="D7" s="4">
        <f>IF(C7&gt;=1,"Finished",IF(C7&lt;=0,"Not started","In progress"))</f>
        <v/>
      </c>
    </row>
    <row r="8">
      <c r="A8" s="4" t="n">
        <v>5</v>
      </c>
      <c r="B8" s="29" t="inlineStr">
        <is>
          <t>Sinh URL truy cập file</t>
        </is>
      </c>
      <c r="C8" s="6" t="n">
        <v>1</v>
      </c>
      <c r="D8" s="4">
        <f>IF(C8&gt;=1,"Finished",IF(C8&lt;=0,"Not started","In progress"))</f>
        <v/>
      </c>
    </row>
    <row r="9">
      <c r="A9" s="4" t="n">
        <v>6</v>
      </c>
      <c r="B9" s="29" t="inlineStr">
        <is>
          <t>Trích fileKey từ URL</t>
        </is>
      </c>
      <c r="C9" s="6" t="n">
        <v>1</v>
      </c>
      <c r="D9" s="4">
        <f>IF(C9&gt;=1,"Finished",IF(C9&lt;=0,"Not started","In progress"))</f>
        <v/>
      </c>
    </row>
    <row r="10">
      <c r="A10" s="4" t="n">
        <v>7</v>
      </c>
      <c r="B10" s="29" t="inlineStr">
        <is>
          <t>Lưu tạm cục bộ và thử upload lại</t>
        </is>
      </c>
      <c r="C10" s="6" t="n">
        <v>1</v>
      </c>
      <c r="D10" s="4">
        <f>IF(C10&gt;=1,"Finished",IF(C10&lt;=0,"Not started","In progress"))</f>
        <v/>
      </c>
    </row>
    <row r="11">
      <c r="A11" s="4" t="n">
        <v>8</v>
      </c>
      <c r="B11" s="29" t="inlineStr">
        <is>
          <t>Xoá file khỏi S3</t>
        </is>
      </c>
      <c r="C11" s="6" t="n">
        <v>1</v>
      </c>
      <c r="D11" s="4">
        <f>IF(C11&gt;=1,"Finished",IF(C11&lt;=0,"Not started","In progress"))</f>
        <v/>
      </c>
    </row>
    <row r="12">
      <c r="A12" s="4" t="n">
        <v>9</v>
      </c>
      <c r="B12" s="29" t="inlineStr">
        <is>
          <t>Cron xoá CV hết hạn lưu trữ (03:00 hằng ngày)</t>
        </is>
      </c>
      <c r="C12" s="6" t="n">
        <v>1</v>
      </c>
      <c r="D12" s="4">
        <f>IF(C12&gt;=1,"Finished",IF(C12&lt;=0,"Not started","In progress"))</f>
        <v/>
      </c>
    </row>
    <row r="13">
      <c r="A13" s="4" t="n">
        <v>10</v>
      </c>
      <c r="B13" s="29" t="inlineStr">
        <is>
          <t>Cron thử lại upload đang chờ (mỗi 15 phút)</t>
        </is>
      </c>
      <c r="C13" s="6" t="n">
        <v>1</v>
      </c>
      <c r="D13" s="4">
        <f>IF(C13&gt;=1,"Finished",IF(C13&lt;=0,"Not started","In progress"))</f>
        <v/>
      </c>
    </row>
    <row r="14">
      <c r="A14" s="32" t="inlineStr">
        <is>
          <t>Không tính vào Progress — Unit test &amp; Tối ưu hoá tương lai</t>
        </is>
      </c>
      <c r="B14" s="33" t="n"/>
      <c r="C14" s="33" t="n"/>
      <c r="D14" s="33" t="n"/>
    </row>
    <row r="15">
      <c r="A15" s="4" t="n">
        <v>11</v>
      </c>
      <c r="B15" s="30" t="inlineStr">
        <is>
          <t>Unit test</t>
        </is>
      </c>
      <c r="C15" s="31" t="n">
        <v>0</v>
      </c>
      <c r="D15" s="4">
        <f>IF(C15&gt;=1,"Finished",IF(C15&lt;=0,"Not started","In progress"))</f>
        <v/>
      </c>
    </row>
    <row r="17" ht="30" customHeight="1">
      <c r="A17" s="7" t="inlineStr"/>
      <c r="B17" s="37" t="inlineStr">
        <is>
          <t>Tổng kết module (chỉ tính các feature phía trên)</t>
        </is>
      </c>
      <c r="C17" s="38">
        <f>AVERAGE(C4:C13)</f>
        <v/>
      </c>
      <c r="D17" s="39">
        <f>COUNTIF(D4:D13,"Finished")&amp;"/"&amp;COUNTA(D4:D13)&amp;" finished"</f>
        <v/>
      </c>
    </row>
    <row r="19">
      <c r="B19" s="2" t="inlineStr">
        <is>
          <t>Cách dùng: chỉ sửa cột C (Progress, 0%–100%). Cột D tự tính.</t>
        </is>
      </c>
    </row>
    <row r="20">
      <c r="B20" s="2" t="inlineStr">
        <is>
          <t>Ô tô vàng = chưa hoàn thiện; di chuột vào tên feature để xem ghi chú kỹ thuật.</t>
        </is>
      </c>
    </row>
    <row r="21">
      <c r="B21" s="2" t="inlineStr">
        <is>
          <t>Unit test và hạng mục tối ưu (nền xám) nằm ngoài vùng tổng kết, không ảnh hưởng Progress.</t>
        </is>
      </c>
    </row>
  </sheetData>
  <mergeCells count="3">
    <mergeCell ref="A1:D1"/>
    <mergeCell ref="A14:D14"/>
    <mergeCell ref="A2:D2"/>
  </mergeCells>
  <conditionalFormatting sqref="D4:D15">
    <cfRule type="cellIs" priority="1" operator="equal" dxfId="0">
      <formula>"Finished"</formula>
    </cfRule>
    <cfRule type="cellIs" priority="2" operator="equal" dxfId="1">
      <formula>"In progress"</formula>
    </cfRule>
    <cfRule type="cellIs" priority="3" operator="equal" dxfId="2">
      <formula>"Not started"</formula>
    </cfRule>
  </conditionalFormatting>
  <dataValidations count="1">
    <dataValidation sqref="C4:C13" showDropDown="0" showInputMessage="0" showErrorMessage="0" allowBlank="0" errorTitle="Gia tri khong hop le" error="Progress phai nam trong khoang 0% - 100%." type="decimal" operator="between">
      <formula1>0</formula1>
      <formula2>1</formula2>
    </dataValidation>
  </dataValidations>
  <pageMargins left="0.75" right="0.75" top="1" bottom="1" header="0.5" footer="0.5"/>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sheetPr>
  <dimension ref="A1:D34"/>
  <sheetViews>
    <sheetView workbookViewId="0">
      <pane ySplit="3" topLeftCell="A4" activePane="bottomLeft" state="frozen"/>
      <selection pane="bottomLeft" activeCell="A1" sqref="A1"/>
    </sheetView>
  </sheetViews>
  <sheetFormatPr baseColWidth="8" defaultRowHeight="15"/>
  <cols>
    <col width="6" customWidth="1" min="1" max="1"/>
    <col width="62" customWidth="1" min="2" max="2"/>
    <col width="12" customWidth="1" min="3" max="3"/>
    <col width="15" customWidth="1" min="4" max="4"/>
  </cols>
  <sheetData>
    <row r="1" ht="26" customHeight="1">
      <c r="A1" s="1" t="inlineStr">
        <is>
          <t>Publishing Automation</t>
        </is>
      </c>
    </row>
    <row r="2">
      <c r="A2" s="2" t="inlineStr">
        <is>
          <t>Nguồn: src/publishing-automation</t>
        </is>
      </c>
    </row>
    <row r="3" ht="20" customHeight="1">
      <c r="A3" s="3" t="inlineStr">
        <is>
          <t>No</t>
        </is>
      </c>
      <c r="B3" s="3" t="inlineStr">
        <is>
          <t>Feature Name</t>
        </is>
      </c>
      <c r="C3" s="3" t="inlineStr">
        <is>
          <t>Progress</t>
        </is>
      </c>
      <c r="D3" s="3" t="inlineStr">
        <is>
          <t>isDone</t>
        </is>
      </c>
    </row>
    <row r="4">
      <c r="A4" s="4" t="n">
        <v>1</v>
      </c>
      <c r="B4" s="29" t="inlineStr">
        <is>
          <t>Đăng ký tài khoản Facebook</t>
        </is>
      </c>
      <c r="C4" s="6" t="n">
        <v>1</v>
      </c>
      <c r="D4" s="4">
        <f>IF(C4&gt;=1,"Finished",IF(C4&lt;=0,"Not started","In progress"))</f>
        <v/>
      </c>
    </row>
    <row r="5">
      <c r="A5" s="4" t="n">
        <v>2</v>
      </c>
      <c r="B5" s="29" t="inlineStr">
        <is>
          <t>Danh sách tài khoản Facebook</t>
        </is>
      </c>
      <c r="C5" s="6" t="n">
        <v>1</v>
      </c>
      <c r="D5" s="4">
        <f>IF(C5&gt;=1,"Finished",IF(C5&lt;=0,"Not started","In progress"))</f>
        <v/>
      </c>
    </row>
    <row r="6">
      <c r="A6" s="4" t="n">
        <v>3</v>
      </c>
      <c r="B6" s="29" t="inlineStr">
        <is>
          <t>Cập nhật trạng thái tài khoản</t>
        </is>
      </c>
      <c r="C6" s="6" t="n">
        <v>1</v>
      </c>
      <c r="D6" s="4">
        <f>IF(C6&gt;=1,"Finished",IF(C6&lt;=0,"Not started","In progress"))</f>
        <v/>
      </c>
    </row>
    <row r="7">
      <c r="A7" s="4" t="n">
        <v>4</v>
      </c>
      <c r="B7" s="29" t="inlineStr">
        <is>
          <t>Đăng ký nhóm Facebook được quản lý</t>
        </is>
      </c>
      <c r="C7" s="6" t="n">
        <v>1</v>
      </c>
      <c r="D7" s="4">
        <f>IF(C7&gt;=1,"Finished",IF(C7&lt;=0,"Not started","In progress"))</f>
        <v/>
      </c>
    </row>
    <row r="8">
      <c r="A8" s="4" t="n">
        <v>5</v>
      </c>
      <c r="B8" s="29" t="inlineStr">
        <is>
          <t>Nhập hàng loạt nhóm (bulk import)</t>
        </is>
      </c>
      <c r="C8" s="6" t="n">
        <v>1</v>
      </c>
      <c r="D8" s="4">
        <f>IF(C8&gt;=1,"Finished",IF(C8&lt;=0,"Not started","In progress"))</f>
        <v/>
      </c>
    </row>
    <row r="9">
      <c r="A9" s="4" t="n">
        <v>6</v>
      </c>
      <c r="B9" s="29" t="inlineStr">
        <is>
          <t>Danh sách nhóm</t>
        </is>
      </c>
      <c r="C9" s="6" t="n">
        <v>1</v>
      </c>
      <c r="D9" s="4">
        <f>IF(C9&gt;=1,"Finished",IF(C9&lt;=0,"Not started","In progress"))</f>
        <v/>
      </c>
    </row>
    <row r="10">
      <c r="A10" s="4" t="n">
        <v>7</v>
      </c>
      <c r="B10" s="29" t="inlineStr">
        <is>
          <t>Gợi ý nhóm phù hợp theo tin tuyển dụng</t>
        </is>
      </c>
      <c r="C10" s="6" t="n">
        <v>1</v>
      </c>
      <c r="D10" s="4">
        <f>IF(C10&gt;=1,"Finished",IF(C10&lt;=0,"Not started","In progress"))</f>
        <v/>
      </c>
    </row>
    <row r="11">
      <c r="A11" s="4" t="n">
        <v>8</v>
      </c>
      <c r="B11" s="29" t="inlineStr">
        <is>
          <t>Cập nhật trạng thái tham gia nhóm</t>
        </is>
      </c>
      <c r="C11" s="6" t="n">
        <v>1</v>
      </c>
      <c r="D11" s="4">
        <f>IF(C11&gt;=1,"Finished",IF(C11&lt;=0,"Not started","In progress"))</f>
        <v/>
      </c>
    </row>
    <row r="12">
      <c r="A12" s="4" t="n">
        <v>9</v>
      </c>
      <c r="B12" s="29" t="inlineStr">
        <is>
          <t>Phân bổ lịch đăng giãn cách (staggered schedule)</t>
        </is>
      </c>
      <c r="C12" s="6" t="n">
        <v>1</v>
      </c>
      <c r="D12" s="4">
        <f>IF(C12&gt;=1,"Finished",IF(C12&lt;=0,"Not started","In progress"))</f>
        <v/>
      </c>
    </row>
    <row r="13">
      <c r="A13" s="4" t="n">
        <v>10</v>
      </c>
      <c r="B13" s="29" t="inlineStr">
        <is>
          <t>Tạo job tự động đăng tin</t>
        </is>
      </c>
      <c r="C13" s="6" t="n">
        <v>1</v>
      </c>
      <c r="D13" s="4">
        <f>IF(C13&gt;=1,"Finished",IF(C13&lt;=0,"Not started","In progress"))</f>
        <v/>
      </c>
    </row>
    <row r="14">
      <c r="A14" s="4" t="n">
        <v>11</v>
      </c>
      <c r="B14" s="29" t="inlineStr">
        <is>
          <t>Danh sách job theo tin ATS</t>
        </is>
      </c>
      <c r="C14" s="6" t="n">
        <v>1</v>
      </c>
      <c r="D14" s="4">
        <f>IF(C14&gt;=1,"Finished",IF(C14&lt;=0,"Not started","In progress"))</f>
        <v/>
      </c>
    </row>
    <row r="15">
      <c r="A15" s="4" t="n">
        <v>12</v>
      </c>
      <c r="B15" s="29" t="inlineStr">
        <is>
          <t>Chi tiết job tự động</t>
        </is>
      </c>
      <c r="C15" s="6" t="n">
        <v>1</v>
      </c>
      <c r="D15" s="4">
        <f>IF(C15&gt;=1,"Finished",IF(C15&lt;=0,"Not started","In progress"))</f>
        <v/>
      </c>
    </row>
    <row r="16">
      <c r="A16" s="4" t="n">
        <v>13</v>
      </c>
      <c r="B16" s="29" t="inlineStr">
        <is>
          <t>Thử lại job thất bại</t>
        </is>
      </c>
      <c r="C16" s="6" t="n">
        <v>1</v>
      </c>
      <c r="D16" s="4">
        <f>IF(C16&gt;=1,"Finished",IF(C16&lt;=0,"Not started","In progress"))</f>
        <v/>
      </c>
    </row>
    <row r="17">
      <c r="A17" s="4" t="n">
        <v>14</v>
      </c>
      <c r="B17" s="29" t="inlineStr">
        <is>
          <t>Processor BullMQ chạy job đăng tin</t>
        </is>
      </c>
      <c r="C17" s="6" t="n">
        <v>1</v>
      </c>
      <c r="D17" s="4">
        <f>IF(C17&gt;=1,"Finished",IF(C17&lt;=0,"Not started","In progress"))</f>
        <v/>
      </c>
    </row>
    <row r="18">
      <c r="A18" s="4" t="n">
        <v>15</v>
      </c>
      <c r="B18" s="29" t="inlineStr">
        <is>
          <t>Quản lý trình duyệt Puppeteer (stealth)</t>
        </is>
      </c>
      <c r="C18" s="6" t="n">
        <v>1</v>
      </c>
      <c r="D18" s="4">
        <f>IF(C18&gt;=1,"Finished",IF(C18&lt;=0,"Not started","In progress"))</f>
        <v/>
      </c>
    </row>
    <row r="19">
      <c r="A19" s="4" t="n">
        <v>16</v>
      </c>
      <c r="B19" s="29" t="inlineStr">
        <is>
          <t>Chiến lược đăng lên nhóm Facebook</t>
        </is>
      </c>
      <c r="C19" s="6" t="n">
        <v>1</v>
      </c>
      <c r="D19" s="4">
        <f>IF(C19&gt;=1,"Finished",IF(C19&lt;=0,"Not started","In progress"))</f>
        <v/>
      </c>
    </row>
    <row r="20">
      <c r="A20" s="4" t="n">
        <v>17</v>
      </c>
      <c r="B20" s="30" t="inlineStr">
        <is>
          <t>Chiến lược đăng lên TopCV</t>
        </is>
      </c>
      <c r="C20" s="31" t="n">
        <v>0.2</v>
      </c>
      <c r="D20" s="4">
        <f>IF(C20&gt;=1,"Finished",IF(C20&lt;=0,"Not started","In progress"))</f>
        <v/>
      </c>
    </row>
    <row r="21">
      <c r="A21" s="4" t="n">
        <v>18</v>
      </c>
      <c r="B21" s="30" t="inlineStr">
        <is>
          <t>Chiến lược đăng lên CareerViet</t>
        </is>
      </c>
      <c r="C21" s="31" t="n">
        <v>0.2</v>
      </c>
      <c r="D21" s="4">
        <f>IF(C21&gt;=1,"Finished",IF(C21&lt;=0,"Not started","In progress"))</f>
        <v/>
      </c>
    </row>
    <row r="22">
      <c r="A22" s="4" t="n">
        <v>19</v>
      </c>
      <c r="B22" s="29" t="inlineStr">
        <is>
          <t>Factory chọn chiến lược theo nền tảng</t>
        </is>
      </c>
      <c r="C22" s="6" t="n">
        <v>1</v>
      </c>
      <c r="D22" s="4">
        <f>IF(C22&gt;=1,"Finished",IF(C22&lt;=0,"Not started","In progress"))</f>
        <v/>
      </c>
    </row>
    <row r="23">
      <c r="A23" s="4" t="n">
        <v>20</v>
      </c>
      <c r="B23" s="29" t="inlineStr">
        <is>
          <t>Listener thông báo kết quả job</t>
        </is>
      </c>
      <c r="C23" s="6" t="n">
        <v>1</v>
      </c>
      <c r="D23" s="4">
        <f>IF(C23&gt;=1,"Finished",IF(C23&lt;=0,"Not started","In progress"))</f>
        <v/>
      </c>
    </row>
    <row r="24">
      <c r="A24" s="32" t="inlineStr">
        <is>
          <t>Không tính vào Progress — Unit test &amp; Tối ưu hoá tương lai</t>
        </is>
      </c>
      <c r="B24" s="33" t="n"/>
      <c r="C24" s="33" t="n"/>
      <c r="D24" s="33" t="n"/>
    </row>
    <row r="25">
      <c r="A25" s="4" t="n">
        <v>21</v>
      </c>
      <c r="B25" s="30" t="inlineStr">
        <is>
          <t>Unit test</t>
        </is>
      </c>
      <c r="C25" s="31" t="n">
        <v>0</v>
      </c>
      <c r="D25" s="4">
        <f>IF(C25&gt;=1,"Finished",IF(C25&lt;=0,"Not started","In progress"))</f>
        <v/>
      </c>
    </row>
    <row r="26">
      <c r="A26" s="34" t="n">
        <v>22</v>
      </c>
      <c r="B26" s="35" t="inlineStr">
        <is>
          <t>Tối ưu Index CSDL: Tránh Sequential Scan để giảm triệt để Disk I/O</t>
        </is>
      </c>
      <c r="C26" s="36" t="n"/>
      <c r="D26" s="34" t="inlineStr">
        <is>
          <t>In progress</t>
        </is>
      </c>
    </row>
    <row r="27">
      <c r="A27" s="34" t="n">
        <v>23</v>
      </c>
      <c r="B27" s="35" t="inlineStr">
        <is>
          <t>Tối ưu câu lệnh truy vấn: Triệt tiêu lỗi N+1 Query bằng JOIN hoặc batching</t>
        </is>
      </c>
      <c r="C27" s="36" t="n"/>
      <c r="D27" s="34" t="inlineStr">
        <is>
          <t>In progress</t>
        </is>
      </c>
    </row>
    <row r="28">
      <c r="A28" s="34" t="n">
        <v>24</v>
      </c>
      <c r="B28" s="35" t="inlineStr">
        <is>
          <t>Tối ưu Payload RESTful: Chỉ truy vấn các trường cần thiết, tránh payload chứa tất cả thông tin</t>
        </is>
      </c>
      <c r="C28" s="36" t="n"/>
      <c r="D28" s="34" t="inlineStr">
        <is>
          <t>In progress</t>
        </is>
      </c>
    </row>
    <row r="30" ht="30" customHeight="1">
      <c r="A30" s="7" t="inlineStr"/>
      <c r="B30" s="37" t="inlineStr">
        <is>
          <t>Tổng kết module (chỉ tính các feature phía trên)</t>
        </is>
      </c>
      <c r="C30" s="38">
        <f>AVERAGE(C4:C23)</f>
        <v/>
      </c>
      <c r="D30" s="39">
        <f>COUNTIF(D4:D23,"Finished")&amp;"/"&amp;COUNTA(D4:D23)&amp;" finished"</f>
        <v/>
      </c>
    </row>
    <row r="32">
      <c r="B32" s="2" t="inlineStr">
        <is>
          <t>Cách dùng: chỉ sửa cột C (Progress, 0%–100%). Cột D tự tính.</t>
        </is>
      </c>
    </row>
    <row r="33">
      <c r="B33" s="2" t="inlineStr">
        <is>
          <t>Ô tô vàng = chưa hoàn thiện; di chuột vào tên feature để xem ghi chú kỹ thuật.</t>
        </is>
      </c>
    </row>
    <row r="34">
      <c r="B34" s="2" t="inlineStr">
        <is>
          <t>Unit test và hạng mục tối ưu (nền xám) nằm ngoài vùng tổng kết, không ảnh hưởng Progress.</t>
        </is>
      </c>
    </row>
  </sheetData>
  <mergeCells count="3">
    <mergeCell ref="A1:D1"/>
    <mergeCell ref="A24:D24"/>
    <mergeCell ref="A2:D2"/>
  </mergeCells>
  <conditionalFormatting sqref="D4:D28">
    <cfRule type="cellIs" priority="1" operator="equal" dxfId="0">
      <formula>"Finished"</formula>
    </cfRule>
    <cfRule type="cellIs" priority="2" operator="equal" dxfId="1">
      <formula>"In progress"</formula>
    </cfRule>
    <cfRule type="cellIs" priority="3" operator="equal" dxfId="2">
      <formula>"Not started"</formula>
    </cfRule>
  </conditionalFormatting>
  <dataValidations count="1">
    <dataValidation sqref="C4:C23" showDropDown="0" showInputMessage="0" showErrorMessage="0" allowBlank="0" errorTitle="Gia tri khong hop le" error="Progress phai nam trong khoang 0% - 100%." type="decimal" operator="between">
      <formula1>0</formula1>
      <formula2>1</formula2>
    </dataValidation>
  </dataValidations>
  <pageMargins left="0.75" right="0.75" top="1" bottom="1" header="0.5" footer="0.5"/>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sheetPr>
  <dimension ref="A1:D17"/>
  <sheetViews>
    <sheetView workbookViewId="0">
      <pane ySplit="3" topLeftCell="A4" activePane="bottomLeft" state="frozen"/>
      <selection pane="bottomLeft" activeCell="A1" sqref="A1"/>
    </sheetView>
  </sheetViews>
  <sheetFormatPr baseColWidth="8" defaultRowHeight="15"/>
  <cols>
    <col width="6" customWidth="1" min="1" max="1"/>
    <col width="62" customWidth="1" min="2" max="2"/>
    <col width="12" customWidth="1" min="3" max="3"/>
    <col width="15" customWidth="1" min="4" max="4"/>
  </cols>
  <sheetData>
    <row r="1" ht="26" customHeight="1">
      <c r="A1" s="1" t="inlineStr">
        <is>
          <t>Address</t>
        </is>
      </c>
    </row>
    <row r="2">
      <c r="A2" s="2" t="inlineStr">
        <is>
          <t>Nguồn: src/address</t>
        </is>
      </c>
    </row>
    <row r="3" ht="20" customHeight="1">
      <c r="A3" s="3" t="inlineStr">
        <is>
          <t>No</t>
        </is>
      </c>
      <c r="B3" s="3" t="inlineStr">
        <is>
          <t>Feature Name</t>
        </is>
      </c>
      <c r="C3" s="3" t="inlineStr">
        <is>
          <t>Progress</t>
        </is>
      </c>
      <c r="D3" s="3" t="inlineStr">
        <is>
          <t>isDone</t>
        </is>
      </c>
    </row>
    <row r="4">
      <c r="A4" s="4" t="n">
        <v>1</v>
      </c>
      <c r="B4" s="29" t="inlineStr">
        <is>
          <t>Phân tích &amp; gợi ý địa chỉ từ text tự do</t>
        </is>
      </c>
      <c r="C4" s="6" t="n">
        <v>1</v>
      </c>
      <c r="D4" s="4">
        <f>IF(C4&gt;=1,"Finished",IF(C4&lt;=0,"Not started","In progress"))</f>
        <v/>
      </c>
    </row>
    <row r="5">
      <c r="A5" s="4" t="n">
        <v>2</v>
      </c>
      <c r="B5" s="29" t="inlineStr">
        <is>
          <t>Chuyển đổi địa chỉ cũ sang cấu trúc hành chính mới</t>
        </is>
      </c>
      <c r="C5" s="6" t="n">
        <v>1</v>
      </c>
      <c r="D5" s="4">
        <f>IF(C5&gt;=1,"Finished",IF(C5&lt;=0,"Not started","In progress"))</f>
        <v/>
      </c>
    </row>
    <row r="6">
      <c r="A6" s="4" t="n">
        <v>3</v>
      </c>
      <c r="B6" s="29" t="inlineStr">
        <is>
          <t>Danh sách tỉnh / thành phố</t>
        </is>
      </c>
      <c r="C6" s="6" t="n">
        <v>1</v>
      </c>
      <c r="D6" s="4">
        <f>IF(C6&gt;=1,"Finished",IF(C6&lt;=0,"Not started","In progress"))</f>
        <v/>
      </c>
    </row>
    <row r="7">
      <c r="A7" s="4" t="n">
        <v>4</v>
      </c>
      <c r="B7" s="29" t="inlineStr">
        <is>
          <t>Danh sách phường / xã theo mã tỉnh</t>
        </is>
      </c>
      <c r="C7" s="6" t="n">
        <v>1</v>
      </c>
      <c r="D7" s="4">
        <f>IF(C7&gt;=1,"Finished",IF(C7&lt;=0,"Not started","In progress"))</f>
        <v/>
      </c>
    </row>
    <row r="8">
      <c r="A8" s="4" t="n">
        <v>5</v>
      </c>
      <c r="B8" s="29" t="inlineStr">
        <is>
          <t>Cache Redis cho tra cứu địa giới</t>
        </is>
      </c>
      <c r="C8" s="6" t="n">
        <v>1</v>
      </c>
      <c r="D8" s="4">
        <f>IF(C8&gt;=1,"Finished",IF(C8&lt;=0,"Not started","In progress"))</f>
        <v/>
      </c>
    </row>
    <row r="9">
      <c r="A9" s="4" t="n">
        <v>6</v>
      </c>
      <c r="B9" s="30" t="inlineStr">
        <is>
          <t>Đăng ký AddressModule vào AppModule</t>
        </is>
      </c>
      <c r="C9" s="31" t="n">
        <v>0</v>
      </c>
      <c r="D9" s="4">
        <f>IF(C9&gt;=1,"Finished",IF(C9&lt;=0,"Not started","In progress"))</f>
        <v/>
      </c>
    </row>
    <row r="10">
      <c r="A10" s="32" t="inlineStr">
        <is>
          <t>Không tính vào Progress — Unit test &amp; Tối ưu hoá tương lai</t>
        </is>
      </c>
      <c r="B10" s="33" t="n"/>
      <c r="C10" s="33" t="n"/>
      <c r="D10" s="33" t="n"/>
    </row>
    <row r="11">
      <c r="A11" s="4" t="n">
        <v>7</v>
      </c>
      <c r="B11" s="29" t="inlineStr">
        <is>
          <t>Unit test (address.service + address.controller)</t>
        </is>
      </c>
      <c r="C11" s="6" t="n">
        <v>1</v>
      </c>
      <c r="D11" s="4">
        <f>IF(C11&gt;=1,"Finished",IF(C11&lt;=0,"Not started","In progress"))</f>
        <v/>
      </c>
    </row>
    <row r="13" ht="30" customHeight="1">
      <c r="A13" s="7" t="inlineStr"/>
      <c r="B13" s="37" t="inlineStr">
        <is>
          <t>Tổng kết module (chỉ tính các feature phía trên)</t>
        </is>
      </c>
      <c r="C13" s="38">
        <f>AVERAGE(C4:C9)</f>
        <v/>
      </c>
      <c r="D13" s="39">
        <f>COUNTIF(D4:D9,"Finished")&amp;"/"&amp;COUNTA(D4:D9)&amp;" finished"</f>
        <v/>
      </c>
    </row>
    <row r="15">
      <c r="B15" s="2" t="inlineStr">
        <is>
          <t>Cách dùng: chỉ sửa cột C (Progress, 0%–100%). Cột D tự tính.</t>
        </is>
      </c>
    </row>
    <row r="16">
      <c r="B16" s="2" t="inlineStr">
        <is>
          <t>Ô tô vàng = chưa hoàn thiện; di chuột vào tên feature để xem ghi chú kỹ thuật.</t>
        </is>
      </c>
    </row>
    <row r="17">
      <c r="B17" s="2" t="inlineStr">
        <is>
          <t>Unit test và hạng mục tối ưu (nền xám) nằm ngoài vùng tổng kết, không ảnh hưởng Progress.</t>
        </is>
      </c>
    </row>
  </sheetData>
  <mergeCells count="3">
    <mergeCell ref="A1:D1"/>
    <mergeCell ref="A10:D10"/>
    <mergeCell ref="A2:D2"/>
  </mergeCells>
  <conditionalFormatting sqref="D4:D11">
    <cfRule type="cellIs" priority="1" operator="equal" dxfId="0">
      <formula>"Finished"</formula>
    </cfRule>
    <cfRule type="cellIs" priority="2" operator="equal" dxfId="1">
      <formula>"In progress"</formula>
    </cfRule>
    <cfRule type="cellIs" priority="3" operator="equal" dxfId="2">
      <formula>"Not started"</formula>
    </cfRule>
  </conditionalFormatting>
  <dataValidations count="1">
    <dataValidation sqref="C4:C9" showDropDown="0" showInputMessage="0" showErrorMessage="0" allowBlank="0" errorTitle="Gia tri khong hop le" error="Progress phai nam trong khoang 0% - 100%." type="decimal" operator="between">
      <formula1>0</formula1>
      <formula2>1</formula2>
    </dataValidation>
  </dataValidations>
  <pageMargins left="0.75" right="0.75" top="1" bottom="1" header="0.5" footer="0.5"/>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sheetPr>
  <dimension ref="A1:D17"/>
  <sheetViews>
    <sheetView workbookViewId="0">
      <pane ySplit="3" topLeftCell="A4" activePane="bottomLeft" state="frozen"/>
      <selection pane="bottomLeft" activeCell="A1" sqref="A1"/>
    </sheetView>
  </sheetViews>
  <sheetFormatPr baseColWidth="8" defaultRowHeight="15"/>
  <cols>
    <col width="6" customWidth="1" min="1" max="1"/>
    <col width="62" customWidth="1" min="2" max="2"/>
    <col width="12" customWidth="1" min="3" max="3"/>
    <col width="15" customWidth="1" min="4" max="4"/>
  </cols>
  <sheetData>
    <row r="1" ht="26" customHeight="1">
      <c r="A1" s="1" t="inlineStr">
        <is>
          <t>Cron &amp; Scheduled Tasks</t>
        </is>
      </c>
    </row>
    <row r="2">
      <c r="A2" s="2" t="inlineStr">
        <is>
          <t>Nguồn: src/cron + src/tasks</t>
        </is>
      </c>
    </row>
    <row r="3" ht="20" customHeight="1">
      <c r="A3" s="3" t="inlineStr">
        <is>
          <t>No</t>
        </is>
      </c>
      <c r="B3" s="3" t="inlineStr">
        <is>
          <t>Feature Name</t>
        </is>
      </c>
      <c r="C3" s="3" t="inlineStr">
        <is>
          <t>Progress</t>
        </is>
      </c>
      <c r="D3" s="3" t="inlineStr">
        <is>
          <t>isDone</t>
        </is>
      </c>
    </row>
    <row r="4">
      <c r="A4" s="4" t="n">
        <v>1</v>
      </c>
      <c r="B4" s="29" t="inlineStr">
        <is>
          <t>Cron dọn thùng rác toàn hệ thống (02:00)</t>
        </is>
      </c>
      <c r="C4" s="6" t="n">
        <v>1</v>
      </c>
      <c r="D4" s="4">
        <f>IF(C4&gt;=1,"Finished",IF(C4&lt;=0,"Not started","In progress"))</f>
        <v/>
      </c>
    </row>
    <row r="5">
      <c r="A5" s="4" t="n">
        <v>2</v>
      </c>
      <c r="B5" s="29" t="inlineStr">
        <is>
          <t>Cron xoá tài khoản chưa xác thực (00:00)</t>
        </is>
      </c>
      <c r="C5" s="6" t="n">
        <v>1</v>
      </c>
      <c r="D5" s="4">
        <f>IF(C5&gt;=1,"Finished",IF(C5&lt;=0,"Not started","In progress"))</f>
        <v/>
      </c>
    </row>
    <row r="6">
      <c r="A6" s="4" t="n">
        <v>3</v>
      </c>
      <c r="B6" s="29" t="inlineStr">
        <is>
          <t>API xem trạng thái các cron job</t>
        </is>
      </c>
      <c r="C6" s="6" t="n">
        <v>1</v>
      </c>
      <c r="D6" s="4">
        <f>IF(C6&gt;=1,"Finished",IF(C6&lt;=0,"Not started","In progress"))</f>
        <v/>
      </c>
    </row>
    <row r="7">
      <c r="A7" s="4" t="n">
        <v>4</v>
      </c>
      <c r="B7" s="29" t="inlineStr">
        <is>
          <t>API bật / tắt cron job</t>
        </is>
      </c>
      <c r="C7" s="6" t="n">
        <v>1</v>
      </c>
      <c r="D7" s="4">
        <f>IF(C7&gt;=1,"Finished",IF(C7&lt;=0,"Not started","In progress"))</f>
        <v/>
      </c>
    </row>
    <row r="8">
      <c r="A8" s="4" t="n">
        <v>5</v>
      </c>
      <c r="B8" s="29" t="inlineStr">
        <is>
          <t>API kích hoạt cron job thủ công</t>
        </is>
      </c>
      <c r="C8" s="6" t="n">
        <v>1</v>
      </c>
      <c r="D8" s="4">
        <f>IF(C8&gt;=1,"Finished",IF(C8&lt;=0,"Not started","In progress"))</f>
        <v/>
      </c>
    </row>
    <row r="9">
      <c r="A9" s="4" t="n">
        <v>6</v>
      </c>
      <c r="B9" s="30" t="inlineStr">
        <is>
          <t>Đăng ký TasksModule vào AppModule</t>
        </is>
      </c>
      <c r="C9" s="31" t="n">
        <v>0</v>
      </c>
      <c r="D9" s="4">
        <f>IF(C9&gt;=1,"Finished",IF(C9&lt;=0,"Not started","In progress"))</f>
        <v/>
      </c>
    </row>
    <row r="10">
      <c r="A10" s="32" t="inlineStr">
        <is>
          <t>Không tính vào Progress — Unit test &amp; Tối ưu hoá tương lai</t>
        </is>
      </c>
      <c r="B10" s="33" t="n"/>
      <c r="C10" s="33" t="n"/>
      <c r="D10" s="33" t="n"/>
    </row>
    <row r="11">
      <c r="A11" s="4" t="n">
        <v>7</v>
      </c>
      <c r="B11" s="30" t="inlineStr">
        <is>
          <t>Unit test</t>
        </is>
      </c>
      <c r="C11" s="31" t="n">
        <v>0</v>
      </c>
      <c r="D11" s="4">
        <f>IF(C11&gt;=1,"Finished",IF(C11&lt;=0,"Not started","In progress"))</f>
        <v/>
      </c>
    </row>
    <row r="13" ht="30" customHeight="1">
      <c r="A13" s="7" t="inlineStr"/>
      <c r="B13" s="37" t="inlineStr">
        <is>
          <t>Tổng kết module (chỉ tính các feature phía trên)</t>
        </is>
      </c>
      <c r="C13" s="38">
        <f>AVERAGE(C4:C9)</f>
        <v/>
      </c>
      <c r="D13" s="39">
        <f>COUNTIF(D4:D9,"Finished")&amp;"/"&amp;COUNTA(D4:D9)&amp;" finished"</f>
        <v/>
      </c>
    </row>
    <row r="15">
      <c r="B15" s="2" t="inlineStr">
        <is>
          <t>Cách dùng: chỉ sửa cột C (Progress, 0%–100%). Cột D tự tính.</t>
        </is>
      </c>
    </row>
    <row r="16">
      <c r="B16" s="2" t="inlineStr">
        <is>
          <t>Ô tô vàng = chưa hoàn thiện; di chuột vào tên feature để xem ghi chú kỹ thuật.</t>
        </is>
      </c>
    </row>
    <row r="17">
      <c r="B17" s="2" t="inlineStr">
        <is>
          <t>Unit test và hạng mục tối ưu (nền xám) nằm ngoài vùng tổng kết, không ảnh hưởng Progress.</t>
        </is>
      </c>
    </row>
  </sheetData>
  <mergeCells count="3">
    <mergeCell ref="A1:D1"/>
    <mergeCell ref="A10:D10"/>
    <mergeCell ref="A2:D2"/>
  </mergeCells>
  <conditionalFormatting sqref="D4:D11">
    <cfRule type="cellIs" priority="1" operator="equal" dxfId="0">
      <formula>"Finished"</formula>
    </cfRule>
    <cfRule type="cellIs" priority="2" operator="equal" dxfId="1">
      <formula>"In progress"</formula>
    </cfRule>
    <cfRule type="cellIs" priority="3" operator="equal" dxfId="2">
      <formula>"Not started"</formula>
    </cfRule>
  </conditionalFormatting>
  <dataValidations count="1">
    <dataValidation sqref="C4:C9" showDropDown="0" showInputMessage="0" showErrorMessage="0" allowBlank="0" errorTitle="Gia tri khong hop le" error="Progress phai nam trong khoang 0% - 100%." type="decimal" operator="between">
      <formula1>0</formula1>
      <formula2>1</formula2>
    </dataValidation>
  </dataValidations>
  <pageMargins left="0.75" right="0.75" top="1" bottom="1" header="0.5" footer="0.5"/>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sheetPr>
  <dimension ref="A1:D16"/>
  <sheetViews>
    <sheetView workbookViewId="0">
      <pane ySplit="3" topLeftCell="A4" activePane="bottomLeft" state="frozen"/>
      <selection pane="bottomLeft" activeCell="A1" sqref="A1"/>
    </sheetView>
  </sheetViews>
  <sheetFormatPr baseColWidth="8" defaultRowHeight="15"/>
  <cols>
    <col width="6" customWidth="1" min="1" max="1"/>
    <col width="62" customWidth="1" min="2" max="2"/>
    <col width="12" customWidth="1" min="3" max="3"/>
    <col width="15" customWidth="1" min="4" max="4"/>
  </cols>
  <sheetData>
    <row r="1" ht="26" customHeight="1">
      <c r="A1" s="1" t="inlineStr">
        <is>
          <t>Mail</t>
        </is>
      </c>
    </row>
    <row r="2">
      <c r="A2" s="2" t="inlineStr">
        <is>
          <t>Nguồn: src/mail + src/common/services</t>
        </is>
      </c>
    </row>
    <row r="3" ht="20" customHeight="1">
      <c r="A3" s="3" t="inlineStr">
        <is>
          <t>No</t>
        </is>
      </c>
      <c r="B3" s="3" t="inlineStr">
        <is>
          <t>Feature Name</t>
        </is>
      </c>
      <c r="C3" s="3" t="inlineStr">
        <is>
          <t>Progress</t>
        </is>
      </c>
      <c r="D3" s="3" t="inlineStr">
        <is>
          <t>isDone</t>
        </is>
      </c>
    </row>
    <row r="4">
      <c r="A4" s="4" t="n">
        <v>1</v>
      </c>
      <c r="B4" s="29" t="inlineStr">
        <is>
          <t>Cấu hình transport Nodemailer / MailerModule</t>
        </is>
      </c>
      <c r="C4" s="6" t="n">
        <v>1</v>
      </c>
      <c r="D4" s="4">
        <f>IF(C4&gt;=1,"Finished",IF(C4&lt;=0,"Not started","In progress"))</f>
        <v/>
      </c>
    </row>
    <row r="5">
      <c r="A5" s="4" t="n">
        <v>2</v>
      </c>
      <c r="B5" s="29" t="inlineStr">
        <is>
          <t>Gửi email chứa link xác thực</t>
        </is>
      </c>
      <c r="C5" s="6" t="n">
        <v>1</v>
      </c>
      <c r="D5" s="4">
        <f>IF(C5&gt;=1,"Finished",IF(C5&lt;=0,"Not started","In progress"))</f>
        <v/>
      </c>
    </row>
    <row r="6">
      <c r="A6" s="4" t="n">
        <v>3</v>
      </c>
      <c r="B6" s="29" t="inlineStr">
        <is>
          <t>Gửi email chứa mã OTP</t>
        </is>
      </c>
      <c r="C6" s="6" t="n">
        <v>1</v>
      </c>
      <c r="D6" s="4">
        <f>IF(C6&gt;=1,"Finished",IF(C6&lt;=0,"Not started","In progress"))</f>
        <v/>
      </c>
    </row>
    <row r="7">
      <c r="A7" s="4" t="n">
        <v>4</v>
      </c>
      <c r="B7" s="30" t="inlineStr">
        <is>
          <t>Hợp nhất 2 MailService trùng chức năng</t>
        </is>
      </c>
      <c r="C7" s="31" t="n">
        <v>0</v>
      </c>
      <c r="D7" s="4">
        <f>IF(C7&gt;=1,"Finished",IF(C7&lt;=0,"Not started","In progress"))</f>
        <v/>
      </c>
    </row>
    <row r="8">
      <c r="A8" s="4" t="n">
        <v>5</v>
      </c>
      <c r="B8" s="30" t="inlineStr">
        <is>
          <t>Template email tách riêng (view engine)</t>
        </is>
      </c>
      <c r="C8" s="31" t="n">
        <v>0</v>
      </c>
      <c r="D8" s="4">
        <f>IF(C8&gt;=1,"Finished",IF(C8&lt;=0,"Not started","In progress"))</f>
        <v/>
      </c>
    </row>
    <row r="9">
      <c r="A9" s="32" t="inlineStr">
        <is>
          <t>Không tính vào Progress — Unit test &amp; Tối ưu hoá tương lai</t>
        </is>
      </c>
      <c r="B9" s="33" t="n"/>
      <c r="C9" s="33" t="n"/>
      <c r="D9" s="33" t="n"/>
    </row>
    <row r="10">
      <c r="A10" s="4" t="n">
        <v>6</v>
      </c>
      <c r="B10" s="30" t="inlineStr">
        <is>
          <t>Unit test</t>
        </is>
      </c>
      <c r="C10" s="31" t="n">
        <v>0</v>
      </c>
      <c r="D10" s="4">
        <f>IF(C10&gt;=1,"Finished",IF(C10&lt;=0,"Not started","In progress"))</f>
        <v/>
      </c>
    </row>
    <row r="12" ht="30" customHeight="1">
      <c r="A12" s="7" t="inlineStr"/>
      <c r="B12" s="37" t="inlineStr">
        <is>
          <t>Tổng kết module (chỉ tính các feature phía trên)</t>
        </is>
      </c>
      <c r="C12" s="38">
        <f>AVERAGE(C4:C8)</f>
        <v/>
      </c>
      <c r="D12" s="39">
        <f>COUNTIF(D4:D8,"Finished")&amp;"/"&amp;COUNTA(D4:D8)&amp;" finished"</f>
        <v/>
      </c>
    </row>
    <row r="14">
      <c r="B14" s="2" t="inlineStr">
        <is>
          <t>Cách dùng: chỉ sửa cột C (Progress, 0%–100%). Cột D tự tính.</t>
        </is>
      </c>
    </row>
    <row r="15">
      <c r="B15" s="2" t="inlineStr">
        <is>
          <t>Ô tô vàng = chưa hoàn thiện; di chuột vào tên feature để xem ghi chú kỹ thuật.</t>
        </is>
      </c>
    </row>
    <row r="16">
      <c r="B16" s="2" t="inlineStr">
        <is>
          <t>Unit test và hạng mục tối ưu (nền xám) nằm ngoài vùng tổng kết, không ảnh hưởng Progress.</t>
        </is>
      </c>
    </row>
  </sheetData>
  <mergeCells count="3">
    <mergeCell ref="A1:D1"/>
    <mergeCell ref="A9:D9"/>
    <mergeCell ref="A2:D2"/>
  </mergeCells>
  <conditionalFormatting sqref="D4:D10">
    <cfRule type="cellIs" priority="1" operator="equal" dxfId="0">
      <formula>"Finished"</formula>
    </cfRule>
    <cfRule type="cellIs" priority="2" operator="equal" dxfId="1">
      <formula>"In progress"</formula>
    </cfRule>
    <cfRule type="cellIs" priority="3" operator="equal" dxfId="2">
      <formula>"Not started"</formula>
    </cfRule>
  </conditionalFormatting>
  <dataValidations count="1">
    <dataValidation sqref="C4:C8" showDropDown="0" showInputMessage="0" showErrorMessage="0" allowBlank="0" errorTitle="Gia tri khong hop le" error="Progress phai nam trong khoang 0% - 100%." type="decimal" operator="between">
      <formula1>0</formula1>
      <formula2>1</formula2>
    </dataValidation>
  </dataValidations>
  <pageMargins left="0.75" right="0.75" top="1" bottom="1" header="0.5" footer="0.5"/>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sheetPr>
  <dimension ref="A1:D31"/>
  <sheetViews>
    <sheetView workbookViewId="0">
      <pane ySplit="3" topLeftCell="A4" activePane="bottomLeft" state="frozen"/>
      <selection pane="bottomLeft" activeCell="A1" sqref="A1"/>
    </sheetView>
  </sheetViews>
  <sheetFormatPr baseColWidth="8" defaultRowHeight="15"/>
  <cols>
    <col width="6" customWidth="1" min="1" max="1"/>
    <col width="62" customWidth="1" min="2" max="2"/>
    <col width="12" customWidth="1" min="3" max="3"/>
    <col width="15" customWidth="1" min="4" max="4"/>
  </cols>
  <sheetData>
    <row r="1" ht="26" customHeight="1">
      <c r="A1" s="1" t="inlineStr">
        <is>
          <t>Core Infrastructure</t>
        </is>
      </c>
    </row>
    <row r="2">
      <c r="A2" s="2" t="inlineStr">
        <is>
          <t>Nguồn: src/common + src/interceptors + src/config</t>
        </is>
      </c>
    </row>
    <row r="3" ht="20" customHeight="1">
      <c r="A3" s="3" t="inlineStr">
        <is>
          <t>No</t>
        </is>
      </c>
      <c r="B3" s="3" t="inlineStr">
        <is>
          <t>Feature Name</t>
        </is>
      </c>
      <c r="C3" s="3" t="inlineStr">
        <is>
          <t>Progress</t>
        </is>
      </c>
      <c r="D3" s="3" t="inlineStr">
        <is>
          <t>isDone</t>
        </is>
      </c>
    </row>
    <row r="4">
      <c r="A4" s="4" t="n">
        <v>1</v>
      </c>
      <c r="B4" s="29" t="inlineStr">
        <is>
          <t>Global exception filter chuẩn hoá lỗi</t>
        </is>
      </c>
      <c r="C4" s="6" t="n">
        <v>1</v>
      </c>
      <c r="D4" s="4">
        <f>IF(C4&gt;=1,"Finished",IF(C4&lt;=0,"Not started","In progress"))</f>
        <v/>
      </c>
    </row>
    <row r="5">
      <c r="A5" s="4" t="n">
        <v>2</v>
      </c>
      <c r="B5" s="29" t="inlineStr">
        <is>
          <t>Transform interceptor chuẩn hoá response</t>
        </is>
      </c>
      <c r="C5" s="6" t="n">
        <v>1</v>
      </c>
      <c r="D5" s="4">
        <f>IF(C5&gt;=1,"Finished",IF(C5&lt;=0,"Not started","In progress"))</f>
        <v/>
      </c>
    </row>
    <row r="6">
      <c r="A6" s="4" t="n">
        <v>3</v>
      </c>
      <c r="B6" s="29" t="inlineStr">
        <is>
          <t>JWT auth guard</t>
        </is>
      </c>
      <c r="C6" s="6" t="n">
        <v>1</v>
      </c>
      <c r="D6" s="4">
        <f>IF(C6&gt;=1,"Finished",IF(C6&lt;=0,"Not started","In progress"))</f>
        <v/>
      </c>
    </row>
    <row r="7">
      <c r="A7" s="4" t="n">
        <v>4</v>
      </c>
      <c r="B7" s="29" t="inlineStr">
        <is>
          <t>Permissions guard (RBAC)</t>
        </is>
      </c>
      <c r="C7" s="6" t="n">
        <v>1</v>
      </c>
      <c r="D7" s="4">
        <f>IF(C7&gt;=1,"Finished",IF(C7&lt;=0,"Not started","In progress"))</f>
        <v/>
      </c>
    </row>
    <row r="8">
      <c r="A8" s="4" t="n">
        <v>5</v>
      </c>
      <c r="B8" s="29" t="inlineStr">
        <is>
          <t>Rate limit toàn cục lưu trên Redis</t>
        </is>
      </c>
      <c r="C8" s="6" t="n">
        <v>1</v>
      </c>
      <c r="D8" s="4">
        <f>IF(C8&gt;=1,"Finished",IF(C8&lt;=0,"Not started","In progress"))</f>
        <v/>
      </c>
    </row>
    <row r="9">
      <c r="A9" s="4" t="n">
        <v>6</v>
      </c>
      <c r="B9" s="29" t="inlineStr">
        <is>
          <t>Throttler exception filter</t>
        </is>
      </c>
      <c r="C9" s="6" t="n">
        <v>1</v>
      </c>
      <c r="D9" s="4">
        <f>IF(C9&gt;=1,"Finished",IF(C9&lt;=0,"Not started","In progress"))</f>
        <v/>
      </c>
    </row>
    <row r="10">
      <c r="A10" s="4" t="n">
        <v>7</v>
      </c>
      <c r="B10" s="29" t="inlineStr">
        <is>
          <t>Cache service trên Redis (get/set/del/pattern)</t>
        </is>
      </c>
      <c r="C10" s="6" t="n">
        <v>1</v>
      </c>
      <c r="D10" s="4">
        <f>IF(C10&gt;=1,"Finished",IF(C10&lt;=0,"Not started","In progress"))</f>
        <v/>
      </c>
    </row>
    <row r="11">
      <c r="A11" s="4" t="n">
        <v>8</v>
      </c>
      <c r="B11" s="29" t="inlineStr">
        <is>
          <t>Decorator @Cacheable</t>
        </is>
      </c>
      <c r="C11" s="6" t="n">
        <v>1</v>
      </c>
      <c r="D11" s="4">
        <f>IF(C11&gt;=1,"Finished",IF(C11&lt;=0,"Not started","In progress"))</f>
        <v/>
      </c>
    </row>
    <row r="12">
      <c r="A12" s="4" t="n">
        <v>9</v>
      </c>
      <c r="B12" s="29" t="inlineStr">
        <is>
          <t>Decorator @CacheClear</t>
        </is>
      </c>
      <c r="C12" s="6" t="n">
        <v>1</v>
      </c>
      <c r="D12" s="4">
        <f>IF(C12&gt;=1,"Finished",IF(C12&lt;=0,"Not started","In progress"))</f>
        <v/>
      </c>
    </row>
    <row r="13">
      <c r="A13" s="4" t="n">
        <v>10</v>
      </c>
      <c r="B13" s="29" t="inlineStr">
        <is>
          <t>API xoá cache theo pattern (admin)</t>
        </is>
      </c>
      <c r="C13" s="6" t="n">
        <v>1</v>
      </c>
      <c r="D13" s="4">
        <f>IF(C13&gt;=1,"Finished",IF(C13&lt;=0,"Not started","In progress"))</f>
        <v/>
      </c>
    </row>
    <row r="14">
      <c r="A14" s="4" t="n">
        <v>11</v>
      </c>
      <c r="B14" s="29" t="inlineStr">
        <is>
          <t>Validate biến môi trường khi khởi động</t>
        </is>
      </c>
      <c r="C14" s="6" t="n">
        <v>1</v>
      </c>
      <c r="D14" s="4">
        <f>IF(C14&gt;=1,"Finished",IF(C14&lt;=0,"Not started","In progress"))</f>
        <v/>
      </c>
    </row>
    <row r="15">
      <c r="A15" s="4" t="n">
        <v>12</v>
      </c>
      <c r="B15" s="29" t="inlineStr">
        <is>
          <t>Health check endpoint (kiểm tra DB)</t>
        </is>
      </c>
      <c r="C15" s="6" t="n">
        <v>1</v>
      </c>
      <c r="D15" s="4">
        <f>IF(C15&gt;=1,"Finished",IF(C15&lt;=0,"Not started","In progress"))</f>
        <v/>
      </c>
    </row>
    <row r="16">
      <c r="A16" s="4" t="n">
        <v>13</v>
      </c>
      <c r="B16" s="29" t="inlineStr">
        <is>
          <t>URI versioning + global prefix /api/v1</t>
        </is>
      </c>
      <c r="C16" s="6" t="n">
        <v>1</v>
      </c>
      <c r="D16" s="4">
        <f>IF(C16&gt;=1,"Finished",IF(C16&lt;=0,"Not started","In progress"))</f>
        <v/>
      </c>
    </row>
    <row r="17">
      <c r="A17" s="4" t="n">
        <v>14</v>
      </c>
      <c r="B17" s="29" t="inlineStr">
        <is>
          <t>CORS theo ALLOWED_ORIGINS</t>
        </is>
      </c>
      <c r="C17" s="6" t="n">
        <v>1</v>
      </c>
      <c r="D17" s="4">
        <f>IF(C17&gt;=1,"Finished",IF(C17&lt;=0,"Not started","In progress"))</f>
        <v/>
      </c>
    </row>
    <row r="18">
      <c r="A18" s="4" t="n">
        <v>15</v>
      </c>
      <c r="B18" s="29" t="inlineStr">
        <is>
          <t>Global ValidationPipe (whitelist + transform)</t>
        </is>
      </c>
      <c r="C18" s="6" t="n">
        <v>1</v>
      </c>
      <c r="D18" s="4">
        <f>IF(C18&gt;=1,"Finished",IF(C18&lt;=0,"Not started","In progress"))</f>
        <v/>
      </c>
    </row>
    <row r="19">
      <c r="A19" s="4" t="n">
        <v>16</v>
      </c>
      <c r="B19" s="29" t="inlineStr">
        <is>
          <t>Crypto util mã hoá dữ liệu nhạy cảm</t>
        </is>
      </c>
      <c r="C19" s="6" t="n">
        <v>1</v>
      </c>
      <c r="D19" s="4">
        <f>IF(C19&gt;=1,"Finished",IF(C19&lt;=0,"Not started","In progress"))</f>
        <v/>
      </c>
    </row>
    <row r="20">
      <c r="A20" s="4" t="n">
        <v>17</v>
      </c>
      <c r="B20" s="29" t="inlineStr">
        <is>
          <t>Validator / chuẩn hoá số điện thoại VN</t>
        </is>
      </c>
      <c r="C20" s="6" t="n">
        <v>1</v>
      </c>
      <c r="D20" s="4">
        <f>IF(C20&gt;=1,"Finished",IF(C20&lt;=0,"Not started","In progress"))</f>
        <v/>
      </c>
    </row>
    <row r="21">
      <c r="A21" s="4" t="n">
        <v>18</v>
      </c>
      <c r="B21" s="29" t="inlineStr">
        <is>
          <t>Util dựng query TypeORM dùng chung</t>
        </is>
      </c>
      <c r="C21" s="6" t="n">
        <v>1</v>
      </c>
      <c r="D21" s="4">
        <f>IF(C21&gt;=1,"Finished",IF(C21&lt;=0,"Not started","In progress"))</f>
        <v/>
      </c>
    </row>
    <row r="22">
      <c r="A22" s="4" t="n">
        <v>19</v>
      </c>
      <c r="B22" s="29" t="inlineStr">
        <is>
          <t>Util RBAC cho phân hệ ATS</t>
        </is>
      </c>
      <c r="C22" s="6" t="n">
        <v>1</v>
      </c>
      <c r="D22" s="4">
        <f>IF(C22&gt;=1,"Finished",IF(C22&lt;=0,"Not started","In progress"))</f>
        <v/>
      </c>
    </row>
    <row r="23">
      <c r="A23" s="4" t="n">
        <v>20</v>
      </c>
      <c r="B23" s="30" t="inlineStr">
        <is>
          <t>Tài liệu API Swagger / OpenAPI</t>
        </is>
      </c>
      <c r="C23" s="31" t="n">
        <v>0</v>
      </c>
      <c r="D23" s="4">
        <f>IF(C23&gt;=1,"Finished",IF(C23&lt;=0,"Not started","In progress"))</f>
        <v/>
      </c>
    </row>
    <row r="24">
      <c r="A24" s="32" t="inlineStr">
        <is>
          <t>Không tính vào Progress — Unit test &amp; Tối ưu hoá tương lai</t>
        </is>
      </c>
      <c r="B24" s="33" t="n"/>
      <c r="C24" s="33" t="n"/>
      <c r="D24" s="33" t="n"/>
    </row>
    <row r="25">
      <c r="A25" s="4" t="n">
        <v>21</v>
      </c>
      <c r="B25" s="30" t="inlineStr">
        <is>
          <t>Bộ test E2E</t>
        </is>
      </c>
      <c r="C25" s="31" t="n">
        <v>0.1</v>
      </c>
      <c r="D25" s="4">
        <f>IF(C25&gt;=1,"Finished",IF(C25&lt;=0,"Not started","In progress"))</f>
        <v/>
      </c>
    </row>
    <row r="27" ht="30" customHeight="1">
      <c r="A27" s="7" t="inlineStr"/>
      <c r="B27" s="37" t="inlineStr">
        <is>
          <t>Tổng kết module (chỉ tính các feature phía trên)</t>
        </is>
      </c>
      <c r="C27" s="38">
        <f>AVERAGE(C4:C23)</f>
        <v/>
      </c>
      <c r="D27" s="39">
        <f>COUNTIF(D4:D23,"Finished")&amp;"/"&amp;COUNTA(D4:D23)&amp;" finished"</f>
        <v/>
      </c>
    </row>
    <row r="29">
      <c r="B29" s="2" t="inlineStr">
        <is>
          <t>Cách dùng: chỉ sửa cột C (Progress, 0%–100%). Cột D tự tính.</t>
        </is>
      </c>
    </row>
    <row r="30">
      <c r="B30" s="2" t="inlineStr">
        <is>
          <t>Ô tô vàng = chưa hoàn thiện; di chuột vào tên feature để xem ghi chú kỹ thuật.</t>
        </is>
      </c>
    </row>
    <row r="31">
      <c r="B31" s="2" t="inlineStr">
        <is>
          <t>Unit test và hạng mục tối ưu (nền xám) nằm ngoài vùng tổng kết, không ảnh hưởng Progress.</t>
        </is>
      </c>
    </row>
  </sheetData>
  <mergeCells count="3">
    <mergeCell ref="A1:D1"/>
    <mergeCell ref="A24:D24"/>
    <mergeCell ref="A2:D2"/>
  </mergeCells>
  <conditionalFormatting sqref="D4:D25">
    <cfRule type="cellIs" priority="1" operator="equal" dxfId="0">
      <formula>"Finished"</formula>
    </cfRule>
    <cfRule type="cellIs" priority="2" operator="equal" dxfId="1">
      <formula>"In progress"</formula>
    </cfRule>
    <cfRule type="cellIs" priority="3" operator="equal" dxfId="2">
      <formula>"Not started"</formula>
    </cfRule>
  </conditionalFormatting>
  <dataValidations count="1">
    <dataValidation sqref="C4:C23" showDropDown="0" showInputMessage="0" showErrorMessage="0" allowBlank="0" errorTitle="Gia tri khong hop le" error="Progress phai nam trong khoang 0% - 100%." type="decimal" operator="between">
      <formula1>0</formula1>
      <formula2>1</formula2>
    </dataValidation>
  </dataValidations>
  <pageMargins left="0.75" right="0.75" top="1" bottom="1" header="0.5" footer="0.5"/>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sheetPr>
  <dimension ref="A1:D18"/>
  <sheetViews>
    <sheetView workbookViewId="0">
      <pane ySplit="3" topLeftCell="A4" activePane="bottomLeft" state="frozen"/>
      <selection pane="bottomLeft" activeCell="A1" sqref="A1"/>
    </sheetView>
  </sheetViews>
  <sheetFormatPr baseColWidth="8" defaultRowHeight="15"/>
  <cols>
    <col width="6" customWidth="1" min="1" max="1"/>
    <col width="62" customWidth="1" min="2" max="2"/>
    <col width="12" customWidth="1" min="3" max="3"/>
    <col width="15" customWidth="1" min="4" max="4"/>
  </cols>
  <sheetData>
    <row r="1" ht="26" customHeight="1">
      <c r="A1" s="1" t="inlineStr">
        <is>
          <t>Database &amp; Deployment</t>
        </is>
      </c>
    </row>
    <row r="2">
      <c r="A2" s="2" t="inlineStr">
        <is>
          <t>Nguồn: src/config + src/database + src/migrations</t>
        </is>
      </c>
    </row>
    <row r="3" ht="20" customHeight="1">
      <c r="A3" s="3" t="inlineStr">
        <is>
          <t>No</t>
        </is>
      </c>
      <c r="B3" s="3" t="inlineStr">
        <is>
          <t>Feature Name</t>
        </is>
      </c>
      <c r="C3" s="3" t="inlineStr">
        <is>
          <t>Progress</t>
        </is>
      </c>
      <c r="D3" s="3" t="inlineStr">
        <is>
          <t>isDone</t>
        </is>
      </c>
    </row>
    <row r="4">
      <c r="A4" s="4" t="n">
        <v>1</v>
      </c>
      <c r="B4" s="29" t="inlineStr">
        <is>
          <t>Factory cấu hình TypeORM bất đồng bộ</t>
        </is>
      </c>
      <c r="C4" s="6" t="n">
        <v>1</v>
      </c>
      <c r="D4" s="4">
        <f>IF(C4&gt;=1,"Finished",IF(C4&lt;=0,"Not started","In progress"))</f>
        <v/>
      </c>
    </row>
    <row r="5">
      <c r="A5" s="4" t="n">
        <v>2</v>
      </c>
      <c r="B5" s="29" t="inlineStr">
        <is>
          <t>Migration khởi tạo schema</t>
        </is>
      </c>
      <c r="C5" s="6" t="n">
        <v>1</v>
      </c>
      <c r="D5" s="4">
        <f>IF(C5&gt;=1,"Finished",IF(C5&lt;=0,"Not started","In progress"))</f>
        <v/>
      </c>
    </row>
    <row r="6">
      <c r="A6" s="4" t="n">
        <v>3</v>
      </c>
      <c r="B6" s="29" t="inlineStr">
        <is>
          <t>Script migration generate / run / revert</t>
        </is>
      </c>
      <c r="C6" s="6" t="n">
        <v>1</v>
      </c>
      <c r="D6" s="4">
        <f>IF(C6&gt;=1,"Finished",IF(C6&lt;=0,"Not started","In progress"))</f>
        <v/>
      </c>
    </row>
    <row r="7">
      <c r="A7" s="4" t="n">
        <v>4</v>
      </c>
      <c r="B7" s="29" t="inlineStr">
        <is>
          <t>Script seed dữ liệu nền</t>
        </is>
      </c>
      <c r="C7" s="6" t="n">
        <v>1</v>
      </c>
      <c r="D7" s="4">
        <f>IF(C7&gt;=1,"Finished",IF(C7&lt;=0,"Not started","In progress"))</f>
        <v/>
      </c>
    </row>
    <row r="8">
      <c r="A8" s="4" t="n">
        <v>5</v>
      </c>
      <c r="B8" s="29" t="inlineStr">
        <is>
          <t>Script seed dữ liệu ATS production</t>
        </is>
      </c>
      <c r="C8" s="6" t="n">
        <v>1</v>
      </c>
      <c r="D8" s="4">
        <f>IF(C8&gt;=1,"Finished",IF(C8&lt;=0,"Not started","In progress"))</f>
        <v/>
      </c>
    </row>
    <row r="9">
      <c r="A9" s="4" t="n">
        <v>6</v>
      </c>
      <c r="B9" s="29" t="inlineStr">
        <is>
          <t>Cột audit + xoá mềm trên entity cơ sở</t>
        </is>
      </c>
      <c r="C9" s="6" t="n">
        <v>1</v>
      </c>
      <c r="D9" s="4">
        <f>IF(C9&gt;=1,"Finished",IF(C9&lt;=0,"Not started","In progress"))</f>
        <v/>
      </c>
    </row>
    <row r="10">
      <c r="A10" s="4" t="n">
        <v>7</v>
      </c>
      <c r="B10" s="29" t="inlineStr">
        <is>
          <t>Dockerfile đóng gói ứng dụng</t>
        </is>
      </c>
      <c r="C10" s="6" t="n">
        <v>1</v>
      </c>
      <c r="D10" s="4">
        <f>IF(C10&gt;=1,"Finished",IF(C10&lt;=0,"Not started","In progress"))</f>
        <v/>
      </c>
    </row>
    <row r="11">
      <c r="A11" s="4" t="n">
        <v>8</v>
      </c>
      <c r="B11" s="29" t="inlineStr">
        <is>
          <t>Cấu hình kết nối Redis / BullMQ (Upstash + TLS)</t>
        </is>
      </c>
      <c r="C11" s="6" t="n">
        <v>1</v>
      </c>
      <c r="D11" s="4">
        <f>IF(C11&gt;=1,"Finished",IF(C11&lt;=0,"Not started","In progress"))</f>
        <v/>
      </c>
    </row>
    <row r="12">
      <c r="A12" s="4" t="n">
        <v>9</v>
      </c>
      <c r="B12" s="30" t="inlineStr">
        <is>
          <t>File .env.example mẫu cho môi trường mới</t>
        </is>
      </c>
      <c r="C12" s="31" t="n">
        <v>0</v>
      </c>
      <c r="D12" s="4">
        <f>IF(C12&gt;=1,"Finished",IF(C12&lt;=0,"Not started","In progress"))</f>
        <v/>
      </c>
    </row>
    <row r="14" ht="30" customHeight="1">
      <c r="A14" s="7" t="inlineStr"/>
      <c r="B14" s="37" t="inlineStr">
        <is>
          <t>Tổng kết module (chỉ tính các feature phía trên)</t>
        </is>
      </c>
      <c r="C14" s="38">
        <f>AVERAGE(C4:C12)</f>
        <v/>
      </c>
      <c r="D14" s="39">
        <f>COUNTIF(D4:D12,"Finished")&amp;"/"&amp;COUNTA(D4:D12)&amp;" finished"</f>
        <v/>
      </c>
    </row>
    <row r="16">
      <c r="B16" s="2" t="inlineStr">
        <is>
          <t>Cách dùng: chỉ sửa cột C (Progress, 0%–100%). Cột D tự tính.</t>
        </is>
      </c>
    </row>
    <row r="17">
      <c r="B17" s="2" t="inlineStr">
        <is>
          <t>Ô tô vàng = chưa hoàn thiện; di chuột vào tên feature để xem ghi chú kỹ thuật.</t>
        </is>
      </c>
    </row>
    <row r="18">
      <c r="B18" s="2" t="inlineStr">
        <is>
          <t>Unit test và hạng mục tối ưu (nền xám) nằm ngoài vùng tổng kết, không ảnh hưởng Progress.</t>
        </is>
      </c>
    </row>
  </sheetData>
  <mergeCells count="2">
    <mergeCell ref="A1:D1"/>
    <mergeCell ref="A2:D2"/>
  </mergeCells>
  <conditionalFormatting sqref="D4:D12">
    <cfRule type="cellIs" priority="1" operator="equal" dxfId="0">
      <formula>"Finished"</formula>
    </cfRule>
    <cfRule type="cellIs" priority="2" operator="equal" dxfId="1">
      <formula>"In progress"</formula>
    </cfRule>
    <cfRule type="cellIs" priority="3" operator="equal" dxfId="2">
      <formula>"Not started"</formula>
    </cfRule>
  </conditionalFormatting>
  <dataValidations count="1">
    <dataValidation sqref="C4:C12" showDropDown="0" showInputMessage="0" showErrorMessage="0" allowBlank="0" errorTitle="Gia tri khong hop le" error="Progress phai nam trong khoang 0% - 100%." type="decimal" operator="between">
      <formula1>0</formula1>
      <formula2>1</formula2>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2026-09-18T02:18:09Z</dcterms:created>
  <dcterms:modified xsi:type="dcterms:W3CDTF">2026-09-18T02:18:09Z</dcterms:modified>
</cp:coreProperties>
</file>